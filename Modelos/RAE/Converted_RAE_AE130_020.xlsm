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 Gandra\source\repos\RAECEF\Modelos\RAE\"/>
    </mc:Choice>
  </mc:AlternateContent>
  <bookViews>
    <workbookView xWindow="32760" yWindow="32760" windowWidth="24000" windowHeight="9735"/>
  </bookViews>
  <sheets>
    <sheet name="RAE" sheetId="11" r:id="rId1"/>
  </sheets>
  <functionGroups builtInGroupCount="18"/>
  <definedNames>
    <definedName name="_xlnm.Print_Area" localSheetId="0">RAE!$F$33:$AX$215</definedName>
    <definedName name="PerConc">RAE!$BH$64</definedName>
    <definedName name="quadro">RAE!$A$217</definedName>
  </definedNames>
  <calcPr calcId="162913"/>
</workbook>
</file>

<file path=xl/calcChain.xml><?xml version="1.0" encoding="utf-8"?>
<calcChain xmlns="http://schemas.openxmlformats.org/spreadsheetml/2006/main">
  <c r="A33" i="11" l="1"/>
  <c r="B33" i="11"/>
  <c r="B35" i="11"/>
  <c r="C35" i="11"/>
  <c r="D35" i="11"/>
  <c r="A38" i="11"/>
  <c r="B38" i="11"/>
  <c r="C38" i="11"/>
  <c r="BH59" i="11"/>
  <c r="BI59" i="11"/>
  <c r="BD61" i="11"/>
  <c r="BE61" i="11"/>
  <c r="BH61" i="11"/>
  <c r="BD62" i="11"/>
  <c r="BE62" i="11"/>
  <c r="BH62" i="11"/>
  <c r="BD63" i="11"/>
  <c r="BE63" i="11"/>
  <c r="BH63" i="11"/>
  <c r="BD64" i="11"/>
  <c r="BE64" i="11"/>
  <c r="BH64" i="11"/>
  <c r="BD65" i="11"/>
  <c r="BE65" i="11"/>
  <c r="BD66" i="11"/>
  <c r="BE66" i="11"/>
  <c r="BD67" i="11"/>
  <c r="BE67" i="11"/>
  <c r="Y68" i="11"/>
  <c r="BD68" i="11"/>
  <c r="BE68" i="11"/>
  <c r="Y69" i="11"/>
  <c r="BD69" i="11"/>
  <c r="BE69" i="11"/>
  <c r="Y70" i="11"/>
  <c r="BD70" i="11"/>
  <c r="BE70" i="11"/>
  <c r="Y71" i="11"/>
  <c r="BD71" i="11"/>
  <c r="BE71" i="11"/>
  <c r="Y72" i="11"/>
  <c r="BD72" i="11"/>
  <c r="BE72" i="11"/>
  <c r="Y73" i="11"/>
  <c r="BD73" i="11"/>
  <c r="BE73" i="11"/>
  <c r="Y74" i="11"/>
  <c r="BD74" i="11"/>
  <c r="BE74" i="11"/>
  <c r="Y75" i="11"/>
  <c r="AQ75" i="11"/>
  <c r="BD75" i="11"/>
  <c r="BE75" i="11"/>
  <c r="Y76" i="11"/>
  <c r="BD76" i="11"/>
  <c r="BE76" i="11"/>
  <c r="Y77" i="11"/>
  <c r="BD77" i="11"/>
  <c r="BE77" i="11"/>
  <c r="Y78" i="11"/>
  <c r="BD78" i="11"/>
  <c r="BE78" i="11"/>
  <c r="Y79" i="11"/>
  <c r="BD79" i="11"/>
  <c r="BE79" i="11"/>
  <c r="Y80" i="11"/>
  <c r="BD80" i="11"/>
  <c r="BE80" i="11"/>
  <c r="Y81" i="11"/>
  <c r="BD81" i="11"/>
  <c r="BE81" i="11"/>
  <c r="Y82" i="11"/>
  <c r="BD82" i="11"/>
  <c r="BE82" i="11"/>
  <c r="Y83" i="11"/>
  <c r="BD83" i="11"/>
  <c r="BE83" i="11"/>
  <c r="Y84" i="11"/>
  <c r="BD84" i="11"/>
  <c r="BE84" i="11"/>
  <c r="Y85" i="11"/>
  <c r="BD85" i="11"/>
  <c r="BE85" i="11"/>
  <c r="Y86" i="11"/>
  <c r="BD86" i="11"/>
  <c r="BE86" i="11"/>
  <c r="Y87" i="11"/>
  <c r="BD87" i="11"/>
  <c r="BE87" i="11"/>
  <c r="S88" i="11"/>
  <c r="Y88" i="11"/>
  <c r="AC88" i="11"/>
  <c r="BD88" i="11"/>
  <c r="BE88" i="11"/>
  <c r="BD89" i="11"/>
  <c r="BE89" i="11"/>
  <c r="BD90" i="11"/>
  <c r="BE90" i="11"/>
  <c r="Y91" i="11"/>
  <c r="BD91" i="11"/>
  <c r="BE91" i="11"/>
  <c r="BC93" i="11"/>
</calcChain>
</file>

<file path=xl/comments1.xml><?xml version="1.0" encoding="utf-8"?>
<comments xmlns="http://schemas.openxmlformats.org/spreadsheetml/2006/main">
  <authors>
    <author>Paulo Henrique Frediani de Moura</author>
    <author>Administrador</author>
  </authors>
  <commentList>
    <comment ref="U35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Campo de preenchimento opcional, com inclusão solicitada por algumas GIHAB.</t>
        </r>
      </text>
    </comment>
    <comment ref="I52" authorId="0" shapeId="0">
      <text>
        <r>
          <rPr>
            <b/>
            <sz val="9"/>
            <color indexed="81"/>
            <rFont val="Tahoma"/>
            <family val="2"/>
          </rPr>
          <t>CAIXA:</t>
        </r>
        <r>
          <rPr>
            <sz val="9"/>
            <color indexed="81"/>
            <rFont val="Tahoma"/>
            <family val="2"/>
          </rPr>
          <t xml:space="preserve">
não é o valor do financiamento, apenas do terreno/imóvel proposto.</t>
        </r>
      </text>
    </comment>
    <comment ref="AS74" authorId="1" shapeId="0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Etapa que deveria estar completa, conforme previsto no cronograma.</t>
        </r>
      </text>
    </comment>
  </commentList>
</comments>
</file>

<file path=xl/sharedStrings.xml><?xml version="1.0" encoding="utf-8"?>
<sst xmlns="http://schemas.openxmlformats.org/spreadsheetml/2006/main" count="225" uniqueCount="202">
  <si>
    <t>Residencial</t>
  </si>
  <si>
    <t xml:space="preserve">Relatório de Acompanhamento de Evolução de Obra – RAE </t>
  </si>
  <si>
    <t>Orientações para Preenchimento</t>
  </si>
  <si>
    <t>1.01</t>
  </si>
  <si>
    <t>1.02</t>
  </si>
  <si>
    <t>1.03</t>
  </si>
  <si>
    <t>Observações:</t>
  </si>
  <si>
    <t>resp</t>
  </si>
  <si>
    <t>ocultar</t>
  </si>
  <si>
    <t>lista</t>
  </si>
  <si>
    <t>form</t>
  </si>
  <si>
    <t>end</t>
  </si>
  <si>
    <t>Grau de sigilo</t>
  </si>
  <si>
    <t>endfim0</t>
  </si>
  <si>
    <t>1.08</t>
  </si>
  <si>
    <t>Proponente</t>
  </si>
  <si>
    <t>1.09</t>
  </si>
  <si>
    <t>CPF Prop.</t>
  </si>
  <si>
    <t>1.10</t>
  </si>
  <si>
    <t>Telefone Prop.</t>
  </si>
  <si>
    <t xml:space="preserve">Responsável Técnico - RT </t>
  </si>
  <si>
    <t>Nº CAU/CREA</t>
  </si>
  <si>
    <t>UF</t>
  </si>
  <si>
    <t>CPF RT</t>
  </si>
  <si>
    <t>1.53</t>
  </si>
  <si>
    <t>Telefone RT</t>
  </si>
  <si>
    <t>Endereço</t>
  </si>
  <si>
    <t>Complemento</t>
  </si>
  <si>
    <t>Bairro</t>
  </si>
  <si>
    <t>CEP</t>
  </si>
  <si>
    <t>Município</t>
  </si>
  <si>
    <t>Matrícula</t>
  </si>
  <si>
    <t>Ofício</t>
  </si>
  <si>
    <t>Comarca</t>
  </si>
  <si>
    <t>Comercial</t>
  </si>
  <si>
    <t>LD</t>
  </si>
  <si>
    <t>Local e data</t>
  </si>
  <si>
    <t>Nome:</t>
  </si>
  <si>
    <t>CPF:</t>
  </si>
  <si>
    <t>AE</t>
  </si>
  <si>
    <t>CAU/CREA:</t>
  </si>
  <si>
    <t>endfim2</t>
  </si>
  <si>
    <t>endfim3</t>
  </si>
  <si>
    <t>RL</t>
  </si>
  <si>
    <t>Responsável Legal - Empresa contratada</t>
  </si>
  <si>
    <t>Empresa contratada pela CAIXA para Análise Técnica</t>
  </si>
  <si>
    <t>Responsável Técnico - Empresa contratada</t>
  </si>
  <si>
    <t>CNPJ:</t>
  </si>
  <si>
    <t>Identificação do imóvel proposto</t>
  </si>
  <si>
    <t>Serviços</t>
  </si>
  <si>
    <t>HABITAÇÃO</t>
  </si>
  <si>
    <t>Esquadrias</t>
  </si>
  <si>
    <t>Coberturas</t>
  </si>
  <si>
    <t>Impermeabilizações</t>
  </si>
  <si>
    <t>Forros</t>
  </si>
  <si>
    <t>Pintura</t>
  </si>
  <si>
    <t>Pisos</t>
  </si>
  <si>
    <t>Acabamentos</t>
  </si>
  <si>
    <t>Complementos</t>
  </si>
  <si>
    <t>%</t>
  </si>
  <si>
    <t>Serviços Preliminares e Gerais</t>
  </si>
  <si>
    <t>Infraestrutura</t>
  </si>
  <si>
    <t>Revestimentos Internos</t>
  </si>
  <si>
    <t>Supraestrutura</t>
  </si>
  <si>
    <t>Revestimentos Externos</t>
  </si>
  <si>
    <t>Paredes e Paineis</t>
  </si>
  <si>
    <t>Vidros e Plásticos</t>
  </si>
  <si>
    <t>Inst. Esgoto e Águas Pluviais</t>
  </si>
  <si>
    <t>Inst. Elétricas e Telefônicas</t>
  </si>
  <si>
    <t>Louças e Metais</t>
  </si>
  <si>
    <t>Instalações Hidráulicas</t>
  </si>
  <si>
    <t>Outros Serviços</t>
  </si>
  <si>
    <t>DATAS &amp; QUALIDADE</t>
  </si>
  <si>
    <t>Inci-dência</t>
  </si>
  <si>
    <t>Execu-ção do Item</t>
  </si>
  <si>
    <t>Execu-ção na Obra</t>
  </si>
  <si>
    <t>Contrato / Início</t>
  </si>
  <si>
    <t>Término Previsto</t>
  </si>
  <si>
    <t>Vistoria</t>
  </si>
  <si>
    <t>A localização do terreno confere com a planta?</t>
  </si>
  <si>
    <t>O alvará está válido?</t>
  </si>
  <si>
    <t>Projeto e especificações foram cumpridos?</t>
  </si>
  <si>
    <t>As pendências anteriores foram atendidas?</t>
  </si>
  <si>
    <t>Os serviços estão sendo executados de modo a prevenir o aparecimento de danos físicos futuros?</t>
  </si>
  <si>
    <t>Mensurado atual</t>
  </si>
  <si>
    <t>Mensurado acumulado no mês anterior</t>
  </si>
  <si>
    <t>Variação do período</t>
  </si>
  <si>
    <t>AW</t>
  </si>
  <si>
    <t>G</t>
  </si>
  <si>
    <t>Oriente-se pelo seguinte esquema de cores para o preenchimento de informações:</t>
  </si>
  <si>
    <t>endfim4</t>
  </si>
  <si>
    <t>Em caso de dúvidas, solicite outro formulário original à sua GIHAB de atendimento.</t>
  </si>
  <si>
    <t>A placa/adesivo CAIXA está afixada corretamente?</t>
  </si>
  <si>
    <t>0.02</t>
  </si>
  <si>
    <t>Autorização de Serviço</t>
  </si>
  <si>
    <t>#CONFIDENCIAL 5</t>
  </si>
  <si>
    <t>27.01</t>
  </si>
  <si>
    <t>27.02</t>
  </si>
  <si>
    <t>Observações/Glosas</t>
  </si>
  <si>
    <t>1.54</t>
  </si>
  <si>
    <t>1.55</t>
  </si>
  <si>
    <t>1.56</t>
  </si>
  <si>
    <t>1.20</t>
  </si>
  <si>
    <t>1.21</t>
  </si>
  <si>
    <t>1.22</t>
  </si>
  <si>
    <t>1.23</t>
  </si>
  <si>
    <t>1.25</t>
  </si>
  <si>
    <t>1.26</t>
  </si>
  <si>
    <t>1.84</t>
  </si>
  <si>
    <t>1.85</t>
  </si>
  <si>
    <t>1.86</t>
  </si>
  <si>
    <t>1.87</t>
  </si>
  <si>
    <t>1.88</t>
  </si>
  <si>
    <t>Análise de Financiamento de Unidade Isolada</t>
  </si>
  <si>
    <t>Valor proposto do terreno</t>
  </si>
  <si>
    <t>0.03</t>
  </si>
  <si>
    <t>Contrato</t>
  </si>
  <si>
    <t>Modelos Padronizados Caixa</t>
  </si>
  <si>
    <t>Não modifique nada em campos de outras cores (branco, cinza, preto, hachurado...): eles podem conter fórmulas importantes, que invalidem o modelo se forem apagados.</t>
  </si>
  <si>
    <t>Proposta de Financiamento de Unidade Isolada</t>
  </si>
  <si>
    <t>Sugerimos sempre guardar o arquivo original em uma pasta segura e preencher uma cópia deste, de forma a garantir a existência de um modelo válido, no caso de um erro qualquer no preenchimento dos dados.</t>
  </si>
  <si>
    <t>utilize os campos em roxo claro; se houver borda laranja, selecione uma opção pré-cadastrada; quando for borda cinza, digite a informação solicitada.</t>
  </si>
  <si>
    <t>1.44</t>
  </si>
  <si>
    <t>Tipo do imóvel proposto:</t>
  </si>
  <si>
    <t>1.44.01</t>
  </si>
  <si>
    <t>Casa</t>
  </si>
  <si>
    <t>1.44.02</t>
  </si>
  <si>
    <t>Apartamento</t>
  </si>
  <si>
    <t>1.44.03</t>
  </si>
  <si>
    <t>Outro, especificar:</t>
  </si>
  <si>
    <t>1.45</t>
  </si>
  <si>
    <t>Uso do imóvel proposto:</t>
  </si>
  <si>
    <t>1.45.01</t>
  </si>
  <si>
    <t>1.45.02</t>
  </si>
  <si>
    <t>1.45.03</t>
  </si>
  <si>
    <t>Misto</t>
  </si>
  <si>
    <t>Prezado(a) Credenciado(a),</t>
  </si>
  <si>
    <t>1.04</t>
  </si>
  <si>
    <t>1.05</t>
  </si>
  <si>
    <t>1.06</t>
  </si>
  <si>
    <t>1.07</t>
  </si>
  <si>
    <r>
      <t xml:space="preserve">Preencha </t>
    </r>
    <r>
      <rPr>
        <b/>
        <sz val="9"/>
        <rFont val="Arial"/>
        <family val="2"/>
      </rPr>
      <t>todos os campos em roxo claro</t>
    </r>
    <r>
      <rPr>
        <sz val="9"/>
        <rFont val="Arial"/>
        <family val="2"/>
      </rPr>
      <t>, podendo ignorar aqueles marcados como opcionais, utilizando o arquivo do proponente como origem de dados (o processo de importação de dados foi eliminado, face às constante dificuldades apresentadas por proponentes e analistas, sob as mais diversas formas).</t>
    </r>
  </si>
  <si>
    <r>
      <t xml:space="preserve">Caso o proponente não tenha preenchido todos os dados, solicite ao mesmo a </t>
    </r>
    <r>
      <rPr>
        <b/>
        <sz val="9"/>
        <rFont val="Arial"/>
        <family val="2"/>
      </rPr>
      <t>complementação da informação</t>
    </r>
    <r>
      <rPr>
        <sz val="9"/>
        <rFont val="Arial"/>
        <family val="2"/>
      </rPr>
      <t xml:space="preserve">, se esta for fundamental para a análise, ou identifique com </t>
    </r>
    <r>
      <rPr>
        <b/>
        <sz val="9"/>
        <rFont val="Arial"/>
        <family val="2"/>
      </rPr>
      <t>nulo</t>
    </r>
    <r>
      <rPr>
        <sz val="9"/>
        <rFont val="Arial"/>
        <family val="2"/>
      </rPr>
      <t xml:space="preserve"> ou </t>
    </r>
    <r>
      <rPr>
        <b/>
        <sz val="9"/>
        <rFont val="Arial"/>
        <family val="2"/>
      </rPr>
      <t>prejudicado,</t>
    </r>
    <r>
      <rPr>
        <sz val="9"/>
        <rFont val="Arial"/>
        <family val="2"/>
      </rPr>
      <t xml:space="preserve"> no caso de a informação ser dispensável ou irrelevante para a análise.</t>
    </r>
  </si>
  <si>
    <r>
      <t xml:space="preserve">Para acrescentar fotos ao </t>
    </r>
    <r>
      <rPr>
        <b/>
        <sz val="9"/>
        <rFont val="Arial"/>
        <family val="2"/>
      </rPr>
      <t>Relatório Fotográfico</t>
    </r>
    <r>
      <rPr>
        <sz val="9"/>
        <rFont val="Arial"/>
        <family val="2"/>
      </rPr>
      <t xml:space="preserve">, que se encontra ao final desta planilha, clique na </t>
    </r>
    <r>
      <rPr>
        <b/>
        <sz val="9"/>
        <rFont val="Arial"/>
        <family val="2"/>
      </rPr>
      <t>seta azul</t>
    </r>
    <r>
      <rPr>
        <sz val="9"/>
        <rFont val="Arial"/>
        <family val="2"/>
      </rPr>
      <t xml:space="preserve"> apontada para baixo e </t>
    </r>
    <r>
      <rPr>
        <b/>
        <sz val="9"/>
        <rFont val="Arial"/>
        <family val="2"/>
      </rPr>
      <t>escolha o devido arquivo</t>
    </r>
    <r>
      <rPr>
        <sz val="9"/>
        <rFont val="Arial"/>
        <family val="2"/>
      </rPr>
      <t>.</t>
    </r>
  </si>
  <si>
    <r>
      <t xml:space="preserve">Para </t>
    </r>
    <r>
      <rPr>
        <b/>
        <sz val="9"/>
        <rFont val="Arial"/>
        <family val="2"/>
      </rPr>
      <t>inverter a proporção da foto</t>
    </r>
    <r>
      <rPr>
        <sz val="9"/>
        <rFont val="Arial"/>
        <family val="2"/>
      </rPr>
      <t xml:space="preserve">, de horizontal para vertical, basta </t>
    </r>
    <r>
      <rPr>
        <b/>
        <sz val="9"/>
        <rFont val="Arial"/>
        <family val="2"/>
      </rPr>
      <t>clicar na mesma</t>
    </r>
    <r>
      <rPr>
        <sz val="9"/>
        <rFont val="Arial"/>
        <family val="2"/>
      </rPr>
      <t>.</t>
    </r>
  </si>
  <si>
    <r>
      <t xml:space="preserve">Para </t>
    </r>
    <r>
      <rPr>
        <b/>
        <sz val="9"/>
        <rFont val="Arial"/>
        <family val="2"/>
      </rPr>
      <t xml:space="preserve">eliminar a foto </t>
    </r>
    <r>
      <rPr>
        <sz val="9"/>
        <rFont val="Arial"/>
        <family val="2"/>
      </rPr>
      <t xml:space="preserve">inserida, </t>
    </r>
    <r>
      <rPr>
        <b/>
        <sz val="9"/>
        <rFont val="Arial"/>
        <family val="2"/>
      </rPr>
      <t>clique no círculo com o "xis" vermelho</t>
    </r>
    <r>
      <rPr>
        <sz val="9"/>
        <rFont val="Arial"/>
        <family val="2"/>
      </rPr>
      <t>.</t>
    </r>
  </si>
  <si>
    <r>
      <t xml:space="preserve">Os documentos devem ser </t>
    </r>
    <r>
      <rPr>
        <b/>
        <sz val="9"/>
        <rFont val="Arial"/>
        <family val="2"/>
      </rPr>
      <t>entregues em arquivo digital e também impressos e assinados</t>
    </r>
    <r>
      <rPr>
        <sz val="9"/>
        <rFont val="Arial"/>
        <family val="2"/>
      </rPr>
      <t>.</t>
    </r>
  </si>
  <si>
    <t>(versão com macros, testadas nas versões Excel 2003 a 2013)</t>
  </si>
  <si>
    <t>Etapa prevista no cronograma físico-financeiro:</t>
  </si>
  <si>
    <t>Etapa concluída:</t>
  </si>
  <si>
    <t>Parcela</t>
  </si>
  <si>
    <t>Executado</t>
  </si>
  <si>
    <t>Acumulado</t>
  </si>
  <si>
    <t>Executado mês</t>
  </si>
  <si>
    <t>Cronograma Físico Financeiro</t>
  </si>
  <si>
    <t>Sim</t>
  </si>
  <si>
    <t>►</t>
  </si>
  <si>
    <r>
      <t>quadrinhos pretinhos</t>
    </r>
    <r>
      <rPr>
        <sz val="9"/>
        <rFont val="Arial"/>
        <family val="2"/>
      </rPr>
      <t xml:space="preserve">; clique no quadrinho correspondente à resposta correta; a seleção de uma resposta, </t>
    </r>
    <r>
      <rPr>
        <b/>
        <sz val="9"/>
        <rFont val="Arial"/>
        <family val="2"/>
      </rPr>
      <t>normalmente,</t>
    </r>
    <r>
      <rPr>
        <sz val="9"/>
        <rFont val="Arial"/>
        <family val="2"/>
      </rPr>
      <t xml:space="preserve"> anula outra do mesmo grupo, exceto quando a pergunta admitir mais de uma resposta; selecionar uma resposta já selecionada anula esta mesma (desmarca a resposta já selecionada).</t>
    </r>
  </si>
  <si>
    <t>PROPOSTA</t>
  </si>
  <si>
    <t>RELATÓRIO DE ACOMPANHAMENTO DE EVOLUÇÃO DE OBRA – RAE</t>
  </si>
  <si>
    <t>RELATÓRIO FOTOGRÁFICO</t>
  </si>
  <si>
    <t>Cronograma Previsto</t>
  </si>
  <si>
    <t>Parcela atual</t>
  </si>
  <si>
    <t>Etapa prevista</t>
  </si>
  <si>
    <t>Parcela prevista</t>
  </si>
  <si>
    <t>Percentual de conclusão</t>
  </si>
  <si>
    <t>Etapa efetiva</t>
  </si>
  <si>
    <t>Mês Executado</t>
  </si>
  <si>
    <t>X</t>
  </si>
  <si>
    <t>Responsável Técnico - Arquiteto ou Engenheiro</t>
  </si>
  <si>
    <t>Cargo:</t>
  </si>
  <si>
    <t>Este documento está sendo preenchido pelo Quadro Próprio da CAIXA  (desmarque caso o preenchimento seja por Empresa Credenciada)</t>
  </si>
  <si>
    <t>17.01</t>
  </si>
  <si>
    <t>17.02</t>
  </si>
  <si>
    <t>17.03</t>
  </si>
  <si>
    <t>17.04</t>
  </si>
  <si>
    <t>17.05</t>
  </si>
  <si>
    <t>17.06</t>
  </si>
  <si>
    <t>17.07</t>
  </si>
  <si>
    <t>17.08</t>
  </si>
  <si>
    <t>17.09</t>
  </si>
  <si>
    <t>17.10</t>
  </si>
  <si>
    <t>17.11</t>
  </si>
  <si>
    <t>17.12</t>
  </si>
  <si>
    <t>17.13</t>
  </si>
  <si>
    <t>17.14</t>
  </si>
  <si>
    <t>17.15</t>
  </si>
  <si>
    <t>17.16</t>
  </si>
  <si>
    <t>17.17</t>
  </si>
  <si>
    <t>17.18</t>
  </si>
  <si>
    <t>17.19</t>
  </si>
  <si>
    <t>17.20</t>
  </si>
  <si>
    <t>17.21</t>
  </si>
  <si>
    <t>Sob os aspectos técnicos de arquitetura/engenharia, o contrato encontra-se apto à liberação do percentual aferido?</t>
  </si>
  <si>
    <t>3587/2020</t>
  </si>
  <si>
    <t xml:space="preserve">Bauru, </t>
  </si>
  <si>
    <t>Felipe Ferreira Gandra Arquitetura</t>
  </si>
  <si>
    <t>Felipe Ferreira Gandra</t>
  </si>
  <si>
    <t>321.687.858-99</t>
  </si>
  <si>
    <t>35.367.026/0001-57</t>
  </si>
  <si>
    <t>A166267-8</t>
  </si>
  <si>
    <r>
      <rPr>
        <sz val="7"/>
        <rFont val="Arial"/>
        <family val="2"/>
      </rPr>
      <t xml:space="preserve">* A localização do terreno em garantia e a locação da obra é de responsabilidade exclusiva do cliente e do responsável técnico da mesma. </t>
    </r>
    <r>
      <rPr>
        <b/>
        <sz val="7"/>
        <rFont val="Arial"/>
        <family val="2"/>
      </rPr>
      <t xml:space="preserve">
X-Apresentar até a próxima medição:
X-A apresentação dos documentos é condicionante para liberaçãos dos recursos, confome normas vigentes:
       * ART/RRT de Projeto de Estruturas;
       * ART/RRT de Projeto de Elétrica;
       * ART/RRT de Projeto Hidrosanitário.
       * Certidão de Registro Profissional do Responsável Técnico
X-A janela do dormitório foi substituída por vidro temperado afetando a habitabilidade da edificação, conforme norma vigente. Regularizar até a próxima medição!
X-Obra executada em desacordo com o projeto analisado. A proposta deverá ser reanalisada;
X-Deverá apresentar Habite-se diretamente na unidade da C.E.F. (Caixa Econômica Federal)
X-Obrigatória a apresentação Comprovante de Inscrição e Situação Cadastral no Cadastro Nacional de Obras – CNO até a liberação da primeira parcela de obra, cuja responsabilidade de verificação do documento é exclusiva das agências demandantes.
X-Tendo em vista que a Resolução do Conselho Federal dos Técnicos Industriais não enquadra a atividade em "Geotecnia" e sendo do entendimento da Caixa Econômica Federal que o documento de responsabilidade técnica pelo projeto/execução de muro de arrimo deve constar na atividade de "Projeto Estrutural", não cabe a aceitação de TRT para a atividade supracitada.
X-Pela ausência de resposta da agência/CCA sobre a data da assinatura do contrato, para continuidade da operação, foi considerada a data do início da obra como sendo a data da
primeira vistoria subtraída de 30 dias.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</si>
</sst>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8" formatCode=";;"/>
    <numFmt numFmtId="179" formatCode=";;;"/>
    <numFmt numFmtId="203" formatCode="00"/>
    <numFmt numFmtId="210" formatCode="0000"/>
    <numFmt numFmtId="211" formatCode="000000000"/>
    <numFmt numFmtId="212" formatCode="#####\-####"/>
    <numFmt numFmtId="215" formatCode="0.00&quot;%&quot;"/>
    <numFmt numFmtId="216" formatCode="000&quot;.&quot;000&quot;.&quot;000&quot;-&quot;00"/>
    <numFmt numFmtId="217" formatCode="00000\-000"/>
    <numFmt numFmtId="218" formatCode="00&quot;.&quot;000&quot;.&quot;000&quot;/&quot;0000&quot;-&quot;00"/>
  </numFmts>
  <fonts count="3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2"/>
      <name val="Trebuchet MS"/>
      <family val="2"/>
    </font>
    <font>
      <sz val="10"/>
      <name val="Trebuchet MS"/>
      <family val="2"/>
    </font>
    <font>
      <sz val="6"/>
      <name val="Arial"/>
      <family val="2"/>
    </font>
    <font>
      <sz val="9"/>
      <name val="Arial"/>
      <family val="2"/>
    </font>
    <font>
      <b/>
      <sz val="8"/>
      <name val="Trebuchet MS"/>
      <family val="2"/>
    </font>
    <font>
      <b/>
      <sz val="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11"/>
      <name val="Trebuchet MS"/>
      <family val="2"/>
    </font>
    <font>
      <sz val="9"/>
      <name val="Trebuchet MS"/>
      <family val="2"/>
    </font>
    <font>
      <b/>
      <sz val="9"/>
      <color indexed="9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10"/>
      <color indexed="4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lightDown">
        <fgColor indexed="44"/>
      </patternFill>
    </fill>
    <fill>
      <patternFill patternType="solid">
        <fgColor indexed="50"/>
        <bgColor indexed="64"/>
      </patternFill>
    </fill>
    <fill>
      <patternFill patternType="lightDown"/>
    </fill>
    <fill>
      <patternFill patternType="solid">
        <fgColor indexed="22"/>
        <bgColor indexed="64"/>
      </patternFill>
    </fill>
  </fills>
  <borders count="5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1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55"/>
      </top>
      <bottom style="medium">
        <color indexed="55"/>
      </bottom>
      <diagonal/>
    </border>
    <border>
      <left/>
      <right style="medium">
        <color indexed="55"/>
      </right>
      <top style="thin">
        <color indexed="55"/>
      </top>
      <bottom style="medium">
        <color indexed="55"/>
      </bottom>
      <diagonal/>
    </border>
    <border>
      <left/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52"/>
      </top>
      <bottom style="thin">
        <color indexed="22"/>
      </bottom>
      <diagonal/>
    </border>
    <border>
      <left/>
      <right/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/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FF9900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4">
    <xf numFmtId="0" fontId="0" fillId="0" borderId="0"/>
    <xf numFmtId="0" fontId="1" fillId="2" borderId="0"/>
    <xf numFmtId="0" fontId="1" fillId="0" borderId="0"/>
    <xf numFmtId="0" fontId="11" fillId="0" borderId="0"/>
  </cellStyleXfs>
  <cellXfs count="344">
    <xf numFmtId="0" fontId="0" fillId="0" borderId="0" xfId="0"/>
    <xf numFmtId="0" fontId="4" fillId="0" borderId="0" xfId="2" applyFont="1" applyAlignment="1" applyProtection="1">
      <alignment vertical="center"/>
    </xf>
    <xf numFmtId="0" fontId="8" fillId="0" borderId="2" xfId="2" applyFont="1" applyFill="1" applyBorder="1" applyAlignment="1" applyProtection="1">
      <alignment vertical="center"/>
    </xf>
    <xf numFmtId="0" fontId="2" fillId="0" borderId="0" xfId="2" applyFont="1" applyProtection="1"/>
    <xf numFmtId="0" fontId="9" fillId="0" borderId="0" xfId="2" applyFont="1" applyFill="1" applyBorder="1" applyAlignment="1" applyProtection="1">
      <alignment vertical="center"/>
    </xf>
    <xf numFmtId="0" fontId="16" fillId="0" borderId="0" xfId="2" applyNumberFormat="1" applyFont="1" applyAlignment="1" applyProtection="1">
      <alignment horizontal="right"/>
    </xf>
    <xf numFmtId="0" fontId="16" fillId="0" borderId="0" xfId="2" applyNumberFormat="1" applyFont="1" applyAlignment="1" applyProtection="1">
      <alignment horizontal="right" vertical="center"/>
    </xf>
    <xf numFmtId="0" fontId="5" fillId="0" borderId="0" xfId="2" applyFont="1" applyFill="1" applyAlignment="1" applyProtection="1">
      <alignment vertical="center"/>
    </xf>
    <xf numFmtId="0" fontId="6" fillId="0" borderId="0" xfId="2" applyFont="1" applyFill="1" applyAlignment="1" applyProtection="1">
      <alignment vertical="center"/>
    </xf>
    <xf numFmtId="0" fontId="2" fillId="0" borderId="0" xfId="2" applyFont="1" applyFill="1" applyAlignment="1" applyProtection="1">
      <alignment vertical="center"/>
    </xf>
    <xf numFmtId="0" fontId="4" fillId="0" borderId="0" xfId="2" applyFont="1" applyFill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6" fillId="0" borderId="0" xfId="2" applyNumberFormat="1" applyFont="1" applyAlignment="1" applyProtection="1">
      <alignment horizontal="right" vertical="top"/>
    </xf>
    <xf numFmtId="0" fontId="9" fillId="0" borderId="3" xfId="2" applyFont="1" applyFill="1" applyBorder="1" applyAlignment="1" applyProtection="1">
      <alignment vertical="center"/>
    </xf>
    <xf numFmtId="0" fontId="2" fillId="0" borderId="0" xfId="2" applyFont="1" applyFill="1" applyBorder="1" applyAlignment="1" applyProtection="1">
      <alignment horizontal="left"/>
    </xf>
    <xf numFmtId="0" fontId="2" fillId="0" borderId="0" xfId="2" applyFont="1" applyFill="1" applyProtection="1"/>
    <xf numFmtId="0" fontId="7" fillId="0" borderId="0" xfId="2" applyFont="1" applyFill="1" applyProtection="1"/>
    <xf numFmtId="0" fontId="15" fillId="0" borderId="0" xfId="2" applyFont="1" applyFill="1" applyAlignment="1" applyProtection="1">
      <alignment horizontal="left"/>
    </xf>
    <xf numFmtId="0" fontId="7" fillId="0" borderId="0" xfId="2" applyFont="1" applyFill="1" applyBorder="1" applyProtection="1"/>
    <xf numFmtId="0" fontId="16" fillId="0" borderId="0" xfId="2" applyNumberFormat="1" applyFont="1" applyBorder="1" applyAlignment="1" applyProtection="1">
      <alignment horizontal="right"/>
    </xf>
    <xf numFmtId="0" fontId="15" fillId="0" borderId="0" xfId="2" applyFont="1" applyFill="1" applyProtection="1"/>
    <xf numFmtId="0" fontId="16" fillId="0" borderId="0" xfId="2" applyFont="1" applyFill="1" applyAlignment="1" applyProtection="1">
      <alignment vertical="center"/>
    </xf>
    <xf numFmtId="0" fontId="16" fillId="0" borderId="0" xfId="2" applyFont="1" applyFill="1" applyBorder="1" applyProtection="1"/>
    <xf numFmtId="0" fontId="15" fillId="0" borderId="0" xfId="1" applyFont="1" applyFill="1" applyAlignment="1" applyProtection="1">
      <alignment vertical="center"/>
    </xf>
    <xf numFmtId="0" fontId="7" fillId="0" borderId="0" xfId="1" applyFont="1" applyFill="1" applyBorder="1" applyProtection="1"/>
    <xf numFmtId="0" fontId="1" fillId="0" borderId="0" xfId="2" applyFill="1" applyBorder="1" applyAlignment="1" applyProtection="1"/>
    <xf numFmtId="0" fontId="13" fillId="0" borderId="0" xfId="2" applyFont="1" applyFill="1" applyBorder="1" applyAlignment="1" applyProtection="1">
      <alignment horizontal="center" vertical="center"/>
    </xf>
    <xf numFmtId="0" fontId="3" fillId="0" borderId="0" xfId="2" applyFont="1" applyFill="1" applyBorder="1" applyAlignment="1" applyProtection="1">
      <alignment horizontal="left"/>
    </xf>
    <xf numFmtId="0" fontId="16" fillId="0" borderId="0" xfId="2" applyFont="1" applyAlignment="1" applyProtection="1">
      <alignment horizontal="right"/>
    </xf>
    <xf numFmtId="0" fontId="16" fillId="0" borderId="0" xfId="2" applyFont="1" applyProtection="1"/>
    <xf numFmtId="0" fontId="2" fillId="0" borderId="0" xfId="2" applyFont="1" applyFill="1" applyBorder="1" applyAlignment="1" applyProtection="1">
      <alignment vertical="center"/>
    </xf>
    <xf numFmtId="0" fontId="16" fillId="0" borderId="0" xfId="1" applyNumberFormat="1" applyFont="1" applyFill="1" applyAlignment="1" applyProtection="1">
      <alignment horizontal="right"/>
    </xf>
    <xf numFmtId="0" fontId="16" fillId="0" borderId="0" xfId="1" applyNumberFormat="1" applyFont="1" applyFill="1" applyAlignment="1" applyProtection="1">
      <alignment horizontal="center" vertical="center"/>
    </xf>
    <xf numFmtId="0" fontId="16" fillId="0" borderId="0" xfId="1" applyFont="1" applyFill="1" applyProtection="1"/>
    <xf numFmtId="0" fontId="1" fillId="0" borderId="0" xfId="1" applyFill="1" applyProtection="1"/>
    <xf numFmtId="179" fontId="16" fillId="0" borderId="0" xfId="2" applyNumberFormat="1" applyFont="1" applyAlignment="1" applyProtection="1">
      <alignment horizontal="right"/>
    </xf>
    <xf numFmtId="0" fontId="16" fillId="0" borderId="0" xfId="2" applyFont="1" applyAlignment="1" applyProtection="1">
      <alignment horizontal="center"/>
    </xf>
    <xf numFmtId="0" fontId="16" fillId="0" borderId="0" xfId="1" applyFont="1" applyFill="1" applyAlignment="1" applyProtection="1">
      <alignment horizontal="center" vertical="center"/>
    </xf>
    <xf numFmtId="203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203" fontId="13" fillId="3" borderId="5" xfId="1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Border="1" applyAlignment="1" applyProtection="1">
      <alignment horizontal="right"/>
    </xf>
    <xf numFmtId="0" fontId="1" fillId="0" borderId="0" xfId="1" applyFill="1" applyAlignment="1" applyProtection="1">
      <alignment vertical="center"/>
    </xf>
    <xf numFmtId="0" fontId="16" fillId="0" borderId="0" xfId="2" applyFont="1" applyFill="1" applyAlignment="1" applyProtection="1">
      <alignment horizontal="center"/>
    </xf>
    <xf numFmtId="0" fontId="1" fillId="0" borderId="0" xfId="2" applyProtection="1"/>
    <xf numFmtId="0" fontId="0" fillId="0" borderId="0" xfId="0" applyFill="1" applyProtection="1"/>
    <xf numFmtId="0" fontId="16" fillId="0" borderId="0" xfId="1" applyFont="1" applyFill="1" applyAlignment="1" applyProtection="1">
      <alignment vertical="center"/>
    </xf>
    <xf numFmtId="0" fontId="11" fillId="0" borderId="0" xfId="2" applyFont="1" applyProtection="1"/>
    <xf numFmtId="0" fontId="0" fillId="0" borderId="0" xfId="0" applyFill="1" applyAlignment="1" applyProtection="1">
      <alignment horizontal="left" vertical="center" wrapText="1"/>
    </xf>
    <xf numFmtId="0" fontId="14" fillId="0" borderId="0" xfId="2" applyFont="1" applyProtection="1"/>
    <xf numFmtId="0" fontId="2" fillId="0" borderId="0" xfId="0" applyFont="1" applyFill="1" applyBorder="1" applyProtection="1"/>
    <xf numFmtId="0" fontId="0" fillId="0" borderId="0" xfId="0" applyProtection="1"/>
    <xf numFmtId="0" fontId="0" fillId="0" borderId="0" xfId="0" applyFill="1" applyBorder="1" applyProtection="1"/>
    <xf numFmtId="0" fontId="13" fillId="0" borderId="0" xfId="2" applyFont="1" applyBorder="1" applyProtection="1"/>
    <xf numFmtId="0" fontId="13" fillId="0" borderId="0" xfId="0" applyFont="1" applyFill="1" applyBorder="1" applyProtection="1"/>
    <xf numFmtId="0" fontId="22" fillId="0" borderId="0" xfId="0" applyFont="1" applyFill="1" applyBorder="1" applyProtection="1"/>
    <xf numFmtId="0" fontId="1" fillId="0" borderId="0" xfId="2" applyBorder="1" applyProtection="1"/>
    <xf numFmtId="0" fontId="0" fillId="0" borderId="6" xfId="0" applyFill="1" applyBorder="1" applyProtection="1"/>
    <xf numFmtId="0" fontId="0" fillId="0" borderId="0" xfId="0" applyFill="1" applyBorder="1" applyAlignment="1" applyProtection="1">
      <alignment horizontal="left" vertical="center" shrinkToFit="1"/>
    </xf>
    <xf numFmtId="0" fontId="1" fillId="0" borderId="0" xfId="2" applyFill="1" applyProtection="1"/>
    <xf numFmtId="0" fontId="16" fillId="0" borderId="0" xfId="2" applyFont="1" applyFill="1" applyProtection="1"/>
    <xf numFmtId="0" fontId="16" fillId="0" borderId="0" xfId="2" applyNumberFormat="1" applyFont="1" applyFill="1" applyAlignment="1" applyProtection="1">
      <alignment horizontal="right"/>
    </xf>
    <xf numFmtId="0" fontId="1" fillId="0" borderId="7" xfId="2" applyBorder="1" applyProtection="1"/>
    <xf numFmtId="0" fontId="1" fillId="0" borderId="3" xfId="1" applyFill="1" applyBorder="1" applyProtection="1"/>
    <xf numFmtId="0" fontId="1" fillId="0" borderId="8" xfId="2" applyBorder="1" applyProtection="1"/>
    <xf numFmtId="0" fontId="1" fillId="0" borderId="2" xfId="2" applyBorder="1" applyProtection="1"/>
    <xf numFmtId="0" fontId="1" fillId="0" borderId="3" xfId="2" applyBorder="1" applyProtection="1"/>
    <xf numFmtId="0" fontId="16" fillId="0" borderId="0" xfId="2" applyFont="1" applyBorder="1" applyProtection="1"/>
    <xf numFmtId="0" fontId="2" fillId="0" borderId="0" xfId="1" applyFont="1" applyFill="1" applyProtection="1"/>
    <xf numFmtId="0" fontId="1" fillId="0" borderId="0" xfId="2" applyAlignment="1" applyProtection="1">
      <alignment horizontal="left" vertical="center" wrapText="1"/>
    </xf>
    <xf numFmtId="0" fontId="1" fillId="0" borderId="0" xfId="2" applyAlignment="1" applyProtection="1">
      <alignment horizontal="left" vertical="center" shrinkToFit="1"/>
    </xf>
    <xf numFmtId="0" fontId="3" fillId="0" borderId="0" xfId="1" applyFont="1" applyFill="1" applyBorder="1" applyAlignment="1" applyProtection="1">
      <alignment horizontal="left" vertical="center" wrapText="1"/>
    </xf>
    <xf numFmtId="0" fontId="10" fillId="0" borderId="9" xfId="2" applyFont="1" applyBorder="1" applyAlignment="1" applyProtection="1">
      <alignment horizontal="center" vertical="center"/>
    </xf>
    <xf numFmtId="14" fontId="1" fillId="0" borderId="0" xfId="1" applyNumberFormat="1" applyFill="1" applyProtection="1"/>
    <xf numFmtId="0" fontId="10" fillId="0" borderId="0" xfId="1" applyFont="1" applyFill="1" applyAlignment="1" applyProtection="1">
      <alignment horizontal="center" vertical="center"/>
    </xf>
    <xf numFmtId="0" fontId="11" fillId="0" borderId="0" xfId="2" applyFont="1" applyFill="1" applyBorder="1" applyAlignment="1" applyProtection="1">
      <alignment vertical="center" wrapText="1"/>
    </xf>
    <xf numFmtId="49" fontId="16" fillId="0" borderId="0" xfId="1" applyNumberFormat="1" applyFont="1" applyFill="1" applyBorder="1" applyAlignment="1" applyProtection="1">
      <alignment horizontal="left" vertical="center" wrapText="1" indent="1"/>
    </xf>
    <xf numFmtId="0" fontId="4" fillId="4" borderId="0" xfId="2" applyFont="1" applyFill="1" applyAlignment="1" applyProtection="1">
      <alignment vertical="center"/>
      <protection locked="0"/>
    </xf>
    <xf numFmtId="0" fontId="5" fillId="4" borderId="0" xfId="2" applyFont="1" applyFill="1" applyAlignment="1" applyProtection="1">
      <alignment vertical="center"/>
      <protection locked="0"/>
    </xf>
    <xf numFmtId="0" fontId="6" fillId="4" borderId="0" xfId="2" applyFont="1" applyFill="1" applyAlignment="1" applyProtection="1">
      <alignment vertical="center"/>
      <protection locked="0"/>
    </xf>
    <xf numFmtId="0" fontId="8" fillId="4" borderId="2" xfId="2" applyFont="1" applyFill="1" applyBorder="1" applyAlignment="1" applyProtection="1">
      <alignment vertical="center"/>
      <protection locked="0"/>
    </xf>
    <xf numFmtId="0" fontId="9" fillId="4" borderId="0" xfId="2" applyFont="1" applyFill="1" applyBorder="1" applyAlignment="1" applyProtection="1">
      <alignment vertical="center"/>
      <protection locked="0"/>
    </xf>
    <xf numFmtId="0" fontId="10" fillId="4" borderId="10" xfId="2" applyFont="1" applyFill="1" applyBorder="1" applyAlignment="1" applyProtection="1">
      <alignment horizontal="center" vertical="center"/>
      <protection locked="0"/>
    </xf>
    <xf numFmtId="0" fontId="21" fillId="5" borderId="11" xfId="2" applyFont="1" applyFill="1" applyBorder="1" applyAlignment="1" applyProtection="1">
      <alignment horizontal="left" vertical="center"/>
    </xf>
    <xf numFmtId="0" fontId="14" fillId="5" borderId="11" xfId="2" applyFont="1" applyFill="1" applyBorder="1" applyAlignment="1" applyProtection="1">
      <alignment horizontal="left" vertical="center"/>
    </xf>
    <xf numFmtId="0" fontId="21" fillId="5" borderId="12" xfId="2" applyFont="1" applyFill="1" applyBorder="1" applyAlignment="1" applyProtection="1">
      <alignment horizontal="left" vertical="center"/>
    </xf>
    <xf numFmtId="0" fontId="3" fillId="0" borderId="1" xfId="0" applyFont="1" applyFill="1" applyBorder="1" applyProtection="1"/>
    <xf numFmtId="4" fontId="3" fillId="0" borderId="1" xfId="0" applyNumberFormat="1" applyFont="1" applyFill="1" applyBorder="1" applyProtection="1"/>
    <xf numFmtId="2" fontId="3" fillId="0" borderId="1" xfId="0" applyNumberFormat="1" applyFont="1" applyFill="1" applyBorder="1" applyProtection="1"/>
    <xf numFmtId="2" fontId="0" fillId="0" borderId="0" xfId="0" applyNumberFormat="1" applyFill="1" applyProtection="1"/>
    <xf numFmtId="14" fontId="3" fillId="0" borderId="1" xfId="0" applyNumberFormat="1" applyFont="1" applyFill="1" applyBorder="1" applyProtection="1"/>
    <xf numFmtId="178" fontId="0" fillId="0" borderId="0" xfId="0" applyNumberFormat="1" applyFill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wrapText="1"/>
    </xf>
    <xf numFmtId="0" fontId="0" fillId="0" borderId="0" xfId="0" applyFill="1"/>
    <xf numFmtId="179" fontId="3" fillId="0" borderId="0" xfId="2" applyNumberFormat="1" applyFont="1" applyProtection="1"/>
    <xf numFmtId="1" fontId="3" fillId="0" borderId="1" xfId="0" applyNumberFormat="1" applyFont="1" applyFill="1" applyBorder="1" applyProtection="1"/>
    <xf numFmtId="4" fontId="29" fillId="3" borderId="1" xfId="0" applyNumberFormat="1" applyFont="1" applyFill="1" applyBorder="1" applyProtection="1">
      <protection locked="0"/>
    </xf>
    <xf numFmtId="0" fontId="30" fillId="0" borderId="0" xfId="0" applyFont="1" applyFill="1" applyProtection="1"/>
    <xf numFmtId="0" fontId="0" fillId="0" borderId="0" xfId="0" quotePrefix="1" applyFill="1" applyProtection="1"/>
    <xf numFmtId="0" fontId="1" fillId="0" borderId="0" xfId="2" applyFont="1" applyProtection="1"/>
    <xf numFmtId="0" fontId="0" fillId="0" borderId="0" xfId="0" applyNumberFormat="1" applyFill="1" applyProtection="1"/>
    <xf numFmtId="2" fontId="0" fillId="0" borderId="0" xfId="0" quotePrefix="1" applyNumberFormat="1" applyFill="1" applyAlignment="1" applyProtection="1">
      <alignment wrapText="1"/>
    </xf>
    <xf numFmtId="2" fontId="1" fillId="0" borderId="0" xfId="2" applyNumberFormat="1" applyProtection="1"/>
    <xf numFmtId="215" fontId="3" fillId="0" borderId="1" xfId="0" quotePrefix="1" applyNumberFormat="1" applyFont="1" applyFill="1" applyBorder="1" applyAlignment="1" applyProtection="1">
      <alignment wrapText="1"/>
    </xf>
    <xf numFmtId="179" fontId="1" fillId="0" borderId="0" xfId="2" applyNumberFormat="1" applyProtection="1"/>
    <xf numFmtId="0" fontId="1" fillId="0" borderId="0" xfId="2" applyNumberFormat="1" applyProtection="1"/>
    <xf numFmtId="0" fontId="0" fillId="0" borderId="0" xfId="0" quotePrefix="1" applyFill="1" applyAlignment="1" applyProtection="1">
      <alignment wrapText="1"/>
    </xf>
    <xf numFmtId="4" fontId="0" fillId="0" borderId="0" xfId="0" applyNumberFormat="1" applyFill="1" applyProtection="1"/>
    <xf numFmtId="0" fontId="0" fillId="0" borderId="0" xfId="0" applyNumberFormat="1" applyFill="1"/>
    <xf numFmtId="0" fontId="3" fillId="0" borderId="0" xfId="0" applyFont="1" applyFill="1" applyBorder="1" applyProtection="1"/>
    <xf numFmtId="4" fontId="29" fillId="3" borderId="0" xfId="0" applyNumberFormat="1" applyFont="1" applyFill="1" applyBorder="1" applyProtection="1">
      <protection locked="0"/>
    </xf>
    <xf numFmtId="4" fontId="3" fillId="0" borderId="0" xfId="0" applyNumberFormat="1" applyFont="1" applyFill="1" applyBorder="1" applyProtection="1"/>
    <xf numFmtId="14" fontId="3" fillId="0" borderId="0" xfId="0" applyNumberFormat="1" applyFont="1" applyFill="1" applyBorder="1" applyProtection="1"/>
    <xf numFmtId="4" fontId="16" fillId="3" borderId="51" xfId="2" applyNumberFormat="1" applyFont="1" applyFill="1" applyBorder="1" applyAlignment="1" applyProtection="1">
      <alignment horizontal="center" vertical="center"/>
      <protection locked="0"/>
    </xf>
    <xf numFmtId="4" fontId="16" fillId="3" borderId="52" xfId="2" applyNumberFormat="1" applyFont="1" applyFill="1" applyBorder="1" applyAlignment="1" applyProtection="1">
      <alignment horizontal="center" vertical="center"/>
      <protection locked="0"/>
    </xf>
    <xf numFmtId="4" fontId="16" fillId="3" borderId="53" xfId="2" applyNumberFormat="1" applyFont="1" applyFill="1" applyBorder="1" applyAlignment="1" applyProtection="1">
      <alignment horizontal="center" vertical="center"/>
      <protection locked="0"/>
    </xf>
    <xf numFmtId="0" fontId="3" fillId="3" borderId="18" xfId="2" applyFont="1" applyFill="1" applyBorder="1" applyAlignment="1" applyProtection="1">
      <alignment horizontal="left" wrapText="1"/>
      <protection locked="0"/>
    </xf>
    <xf numFmtId="0" fontId="3" fillId="3" borderId="17" xfId="2" applyFont="1" applyFill="1" applyBorder="1" applyAlignment="1" applyProtection="1">
      <alignment horizontal="left" wrapText="1"/>
      <protection locked="0"/>
    </xf>
    <xf numFmtId="0" fontId="3" fillId="3" borderId="10" xfId="2" applyFont="1" applyFill="1" applyBorder="1" applyAlignment="1" applyProtection="1">
      <alignment horizontal="left" wrapText="1"/>
      <protection locked="0"/>
    </xf>
    <xf numFmtId="0" fontId="3" fillId="3" borderId="19" xfId="2" applyFont="1" applyFill="1" applyBorder="1" applyAlignment="1" applyProtection="1">
      <alignment horizontal="left" wrapText="1"/>
      <protection locked="0"/>
    </xf>
    <xf numFmtId="0" fontId="3" fillId="3" borderId="0" xfId="2" applyFont="1" applyFill="1" applyBorder="1" applyAlignment="1" applyProtection="1">
      <alignment horizontal="left" wrapText="1"/>
      <protection locked="0"/>
    </xf>
    <xf numFmtId="0" fontId="3" fillId="3" borderId="9" xfId="2" applyFont="1" applyFill="1" applyBorder="1" applyAlignment="1" applyProtection="1">
      <alignment horizontal="left" wrapText="1"/>
      <protection locked="0"/>
    </xf>
    <xf numFmtId="0" fontId="3" fillId="3" borderId="21" xfId="2" applyFont="1" applyFill="1" applyBorder="1" applyAlignment="1" applyProtection="1">
      <alignment horizontal="left" wrapText="1"/>
      <protection locked="0"/>
    </xf>
    <xf numFmtId="0" fontId="3" fillId="3" borderId="13" xfId="2" applyFont="1" applyFill="1" applyBorder="1" applyAlignment="1" applyProtection="1">
      <alignment horizontal="left" wrapText="1"/>
      <protection locked="0"/>
    </xf>
    <xf numFmtId="0" fontId="3" fillId="3" borderId="22" xfId="2" applyFont="1" applyFill="1" applyBorder="1" applyAlignment="1" applyProtection="1">
      <alignment horizontal="left" wrapText="1"/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0" xfId="0" applyProtection="1">
      <protection locked="0"/>
    </xf>
    <xf numFmtId="0" fontId="0" fillId="0" borderId="9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22" xfId="0" applyBorder="1" applyProtection="1">
      <protection locked="0"/>
    </xf>
    <xf numFmtId="0" fontId="3" fillId="0" borderId="54" xfId="1" applyFont="1" applyFill="1" applyBorder="1" applyAlignment="1" applyProtection="1">
      <alignment horizontal="left" vertical="center" wrapText="1"/>
    </xf>
    <xf numFmtId="0" fontId="3" fillId="0" borderId="55" xfId="1" applyFont="1" applyFill="1" applyBorder="1" applyAlignment="1" applyProtection="1">
      <alignment horizontal="left" vertical="center" wrapText="1"/>
    </xf>
    <xf numFmtId="0" fontId="3" fillId="0" borderId="56" xfId="1" applyFont="1" applyFill="1" applyBorder="1" applyAlignment="1" applyProtection="1">
      <alignment horizontal="left" vertical="center" wrapText="1"/>
    </xf>
    <xf numFmtId="0" fontId="3" fillId="0" borderId="25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7" fillId="0" borderId="43" xfId="2" applyFont="1" applyFill="1" applyBorder="1" applyAlignment="1" applyProtection="1">
      <alignment horizontal="center"/>
    </xf>
    <xf numFmtId="14" fontId="18" fillId="3" borderId="25" xfId="1" applyNumberFormat="1" applyFont="1" applyFill="1" applyBorder="1" applyAlignment="1" applyProtection="1">
      <alignment horizontal="center" vertical="center"/>
      <protection locked="0"/>
    </xf>
    <xf numFmtId="14" fontId="18" fillId="3" borderId="20" xfId="1" applyNumberFormat="1" applyFont="1" applyFill="1" applyBorder="1" applyAlignment="1" applyProtection="1">
      <alignment horizontal="center" vertical="center"/>
      <protection locked="0"/>
    </xf>
    <xf numFmtId="14" fontId="18" fillId="3" borderId="33" xfId="1" applyNumberFormat="1" applyFont="1" applyFill="1" applyBorder="1" applyAlignment="1" applyProtection="1">
      <alignment horizontal="center" vertical="center"/>
      <protection locked="0"/>
    </xf>
    <xf numFmtId="0" fontId="7" fillId="0" borderId="25" xfId="1" applyFont="1" applyFill="1" applyBorder="1" applyAlignment="1" applyProtection="1">
      <alignment horizontal="right" vertical="center" wrapText="1"/>
    </xf>
    <xf numFmtId="0" fontId="7" fillId="0" borderId="20" xfId="1" applyFont="1" applyFill="1" applyBorder="1" applyAlignment="1" applyProtection="1">
      <alignment horizontal="right" vertical="center" wrapText="1"/>
    </xf>
    <xf numFmtId="0" fontId="7" fillId="0" borderId="33" xfId="1" applyFont="1" applyFill="1" applyBorder="1" applyAlignment="1" applyProtection="1">
      <alignment horizontal="right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7" fillId="0" borderId="25" xfId="2" applyFont="1" applyFill="1" applyBorder="1" applyAlignment="1" applyProtection="1">
      <alignment horizontal="left" vertical="center" wrapText="1"/>
    </xf>
    <xf numFmtId="0" fontId="7" fillId="0" borderId="20" xfId="2" applyFont="1" applyFill="1" applyBorder="1" applyAlignment="1" applyProtection="1">
      <alignment horizontal="left" vertical="center" wrapText="1"/>
    </xf>
    <xf numFmtId="0" fontId="7" fillId="0" borderId="33" xfId="2" applyFont="1" applyFill="1" applyBorder="1" applyAlignment="1" applyProtection="1">
      <alignment horizontal="left" vertical="center" wrapText="1"/>
    </xf>
    <xf numFmtId="49" fontId="10" fillId="0" borderId="25" xfId="1" applyNumberFormat="1" applyFont="1" applyFill="1" applyBorder="1" applyAlignment="1" applyProtection="1">
      <alignment horizontal="center" vertical="center"/>
    </xf>
    <xf numFmtId="49" fontId="10" fillId="0" borderId="20" xfId="1" applyNumberFormat="1" applyFont="1" applyFill="1" applyBorder="1" applyAlignment="1" applyProtection="1">
      <alignment horizontal="center" vertical="center"/>
    </xf>
    <xf numFmtId="49" fontId="10" fillId="0" borderId="33" xfId="1" applyNumberFormat="1" applyFont="1" applyFill="1" applyBorder="1" applyAlignment="1" applyProtection="1">
      <alignment horizontal="center" vertical="center"/>
    </xf>
    <xf numFmtId="0" fontId="17" fillId="0" borderId="25" xfId="1" applyFont="1" applyFill="1" applyBorder="1" applyAlignment="1" applyProtection="1">
      <alignment horizontal="left" vertical="center" wrapText="1" indent="1"/>
    </xf>
    <xf numFmtId="0" fontId="17" fillId="0" borderId="20" xfId="1" applyFont="1" applyFill="1" applyBorder="1" applyAlignment="1" applyProtection="1">
      <alignment horizontal="left" vertical="center" wrapText="1" indent="1"/>
    </xf>
    <xf numFmtId="0" fontId="17" fillId="0" borderId="33" xfId="1" applyFont="1" applyFill="1" applyBorder="1" applyAlignment="1" applyProtection="1">
      <alignment horizontal="left" vertical="center" wrapText="1" indent="1"/>
    </xf>
    <xf numFmtId="14" fontId="7" fillId="0" borderId="25" xfId="1" applyNumberFormat="1" applyFont="1" applyFill="1" applyBorder="1" applyAlignment="1" applyProtection="1">
      <alignment horizontal="right" vertical="center" wrapText="1"/>
    </xf>
    <xf numFmtId="14" fontId="7" fillId="0" borderId="20" xfId="1" applyNumberFormat="1" applyFont="1" applyFill="1" applyBorder="1" applyAlignment="1" applyProtection="1">
      <alignment horizontal="right" vertical="center" wrapText="1"/>
    </xf>
    <xf numFmtId="14" fontId="7" fillId="0" borderId="33" xfId="1" applyNumberFormat="1" applyFont="1" applyFill="1" applyBorder="1" applyAlignment="1" applyProtection="1">
      <alignment horizontal="right" vertical="center" wrapText="1"/>
    </xf>
    <xf numFmtId="0" fontId="7" fillId="0" borderId="1" xfId="1" applyFont="1" applyFill="1" applyBorder="1" applyAlignment="1" applyProtection="1">
      <alignment horizontal="center" vertical="center" wrapText="1"/>
    </xf>
    <xf numFmtId="10" fontId="7" fillId="0" borderId="1" xfId="1" applyNumberFormat="1" applyFont="1" applyFill="1" applyBorder="1" applyAlignment="1" applyProtection="1">
      <alignment horizontal="center" vertical="center" wrapText="1"/>
    </xf>
    <xf numFmtId="0" fontId="13" fillId="0" borderId="25" xfId="0" applyNumberFormat="1" applyFont="1" applyFill="1" applyBorder="1" applyAlignment="1" applyProtection="1">
      <alignment horizontal="center" vertical="center"/>
    </xf>
    <xf numFmtId="0" fontId="13" fillId="0" borderId="20" xfId="0" applyNumberFormat="1" applyFont="1" applyFill="1" applyBorder="1" applyAlignment="1" applyProtection="1">
      <alignment horizontal="center" vertical="center"/>
    </xf>
    <xf numFmtId="0" fontId="13" fillId="0" borderId="33" xfId="0" applyNumberFormat="1" applyFont="1" applyFill="1" applyBorder="1" applyAlignment="1" applyProtection="1">
      <alignment horizontal="center" vertical="center"/>
    </xf>
    <xf numFmtId="49" fontId="10" fillId="0" borderId="43" xfId="1" applyNumberFormat="1" applyFont="1" applyFill="1" applyBorder="1" applyAlignment="1" applyProtection="1">
      <alignment horizontal="center" vertical="center"/>
    </xf>
    <xf numFmtId="0" fontId="17" fillId="0" borderId="43" xfId="1" applyFont="1" applyFill="1" applyBorder="1" applyAlignment="1" applyProtection="1">
      <alignment horizontal="left" vertical="center"/>
    </xf>
    <xf numFmtId="0" fontId="7" fillId="0" borderId="21" xfId="1" applyFont="1" applyFill="1" applyBorder="1" applyAlignment="1" applyProtection="1">
      <alignment horizontal="left" vertical="center" wrapText="1"/>
    </xf>
    <xf numFmtId="0" fontId="1" fillId="0" borderId="13" xfId="1" applyFill="1" applyBorder="1" applyAlignment="1" applyProtection="1">
      <alignment horizontal="left" vertical="center" wrapText="1"/>
    </xf>
    <xf numFmtId="0" fontId="1" fillId="0" borderId="22" xfId="1" applyFill="1" applyBorder="1" applyAlignment="1" applyProtection="1">
      <alignment horizontal="left" vertical="center" wrapText="1"/>
    </xf>
    <xf numFmtId="0" fontId="18" fillId="3" borderId="1" xfId="1" applyNumberFormat="1" applyFont="1" applyFill="1" applyBorder="1" applyAlignment="1" applyProtection="1">
      <alignment horizontal="left" vertical="center"/>
      <protection locked="0"/>
    </xf>
    <xf numFmtId="0" fontId="18" fillId="3" borderId="25" xfId="1" applyNumberFormat="1" applyFont="1" applyFill="1" applyBorder="1" applyAlignment="1" applyProtection="1">
      <alignment horizontal="left" vertical="center"/>
      <protection locked="0"/>
    </xf>
    <xf numFmtId="0" fontId="18" fillId="3" borderId="30" xfId="1" applyNumberFormat="1" applyFont="1" applyFill="1" applyBorder="1" applyAlignment="1" applyProtection="1">
      <alignment horizontal="center" vertical="center"/>
      <protection locked="0"/>
    </xf>
    <xf numFmtId="0" fontId="18" fillId="3" borderId="32" xfId="1" applyNumberFormat="1" applyFont="1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2" fillId="3" borderId="45" xfId="0" applyFont="1" applyFill="1" applyBorder="1" applyAlignment="1" applyProtection="1">
      <alignment horizontal="center"/>
      <protection locked="0"/>
    </xf>
    <xf numFmtId="0" fontId="2" fillId="3" borderId="44" xfId="0" applyFont="1" applyFill="1" applyBorder="1" applyAlignment="1" applyProtection="1">
      <alignment horizontal="center"/>
      <protection locked="0"/>
    </xf>
    <xf numFmtId="0" fontId="2" fillId="3" borderId="46" xfId="0" applyFont="1" applyFill="1" applyBorder="1" applyAlignment="1" applyProtection="1">
      <alignment horizontal="center"/>
      <protection locked="0"/>
    </xf>
    <xf numFmtId="0" fontId="11" fillId="0" borderId="0" xfId="2" applyFont="1" applyFill="1" applyBorder="1" applyAlignment="1" applyProtection="1">
      <alignment horizontal="left" vertical="top" wrapText="1"/>
    </xf>
    <xf numFmtId="0" fontId="14" fillId="8" borderId="0" xfId="2" applyFont="1" applyFill="1" applyBorder="1" applyAlignment="1" applyProtection="1">
      <alignment horizontal="center" vertical="center" wrapText="1"/>
    </xf>
    <xf numFmtId="0" fontId="25" fillId="0" borderId="25" xfId="2" applyFont="1" applyBorder="1" applyAlignment="1" applyProtection="1">
      <alignment horizontal="left" vertical="center" wrapText="1"/>
    </xf>
    <xf numFmtId="0" fontId="25" fillId="0" borderId="20" xfId="2" applyFont="1" applyBorder="1" applyAlignment="1" applyProtection="1">
      <alignment horizontal="left" vertical="center" wrapText="1"/>
    </xf>
    <xf numFmtId="0" fontId="25" fillId="0" borderId="33" xfId="2" applyFont="1" applyBorder="1" applyAlignment="1" applyProtection="1">
      <alignment horizontal="left" vertical="center" wrapText="1"/>
    </xf>
    <xf numFmtId="49" fontId="16" fillId="0" borderId="21" xfId="1" applyNumberFormat="1" applyFont="1" applyFill="1" applyBorder="1" applyAlignment="1" applyProtection="1">
      <alignment horizontal="left" vertical="center" wrapText="1" indent="1"/>
    </xf>
    <xf numFmtId="49" fontId="16" fillId="0" borderId="13" xfId="1" applyNumberFormat="1" applyFont="1" applyFill="1" applyBorder="1" applyAlignment="1" applyProtection="1">
      <alignment horizontal="left" vertical="center" wrapText="1" indent="1"/>
    </xf>
    <xf numFmtId="49" fontId="16" fillId="0" borderId="22" xfId="1" applyNumberFormat="1" applyFont="1" applyFill="1" applyBorder="1" applyAlignment="1" applyProtection="1">
      <alignment horizontal="left" vertical="center" wrapText="1" indent="1"/>
    </xf>
    <xf numFmtId="0" fontId="11" fillId="0" borderId="0" xfId="2" applyFont="1" applyFill="1" applyBorder="1" applyAlignment="1" applyProtection="1">
      <alignment horizontal="left" vertical="center" wrapText="1"/>
    </xf>
    <xf numFmtId="212" fontId="18" fillId="3" borderId="13" xfId="1" applyNumberFormat="1" applyFont="1" applyFill="1" applyBorder="1" applyAlignment="1" applyProtection="1">
      <alignment horizontal="left" vertical="center"/>
      <protection locked="0"/>
    </xf>
    <xf numFmtId="212" fontId="18" fillId="3" borderId="22" xfId="1" applyNumberFormat="1" applyFont="1" applyFill="1" applyBorder="1" applyAlignment="1" applyProtection="1">
      <alignment horizontal="left" vertical="center"/>
      <protection locked="0"/>
    </xf>
    <xf numFmtId="0" fontId="8" fillId="0" borderId="2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</xf>
    <xf numFmtId="0" fontId="12" fillId="0" borderId="0" xfId="2" applyFont="1" applyFill="1" applyBorder="1" applyAlignment="1" applyProtection="1">
      <alignment horizontal="center" vertical="center"/>
    </xf>
    <xf numFmtId="0" fontId="17" fillId="0" borderId="43" xfId="1" applyNumberFormat="1" applyFont="1" applyFill="1" applyBorder="1" applyAlignment="1" applyProtection="1">
      <alignment horizontal="left" vertical="center"/>
    </xf>
    <xf numFmtId="0" fontId="18" fillId="3" borderId="21" xfId="1" applyFont="1" applyFill="1" applyBorder="1" applyAlignment="1" applyProtection="1">
      <alignment horizontal="left" vertical="center"/>
      <protection locked="0"/>
    </xf>
    <xf numFmtId="0" fontId="18" fillId="3" borderId="13" xfId="1" applyFont="1" applyFill="1" applyBorder="1" applyAlignment="1" applyProtection="1">
      <alignment horizontal="left" vertical="center"/>
      <protection locked="0"/>
    </xf>
    <xf numFmtId="0" fontId="18" fillId="3" borderId="22" xfId="1" applyFont="1" applyFill="1" applyBorder="1" applyAlignment="1" applyProtection="1">
      <alignment horizontal="left" vertical="center"/>
      <protection locked="0"/>
    </xf>
    <xf numFmtId="216" fontId="18" fillId="3" borderId="21" xfId="1" applyNumberFormat="1" applyFont="1" applyFill="1" applyBorder="1" applyAlignment="1" applyProtection="1">
      <alignment horizontal="left" vertical="center"/>
      <protection locked="0"/>
    </xf>
    <xf numFmtId="216" fontId="18" fillId="3" borderId="13" xfId="1" applyNumberFormat="1" applyFont="1" applyFill="1" applyBorder="1" applyAlignment="1" applyProtection="1">
      <alignment horizontal="left" vertical="center"/>
      <protection locked="0"/>
    </xf>
    <xf numFmtId="216" fontId="18" fillId="3" borderId="22" xfId="1" applyNumberFormat="1" applyFont="1" applyFill="1" applyBorder="1" applyAlignment="1" applyProtection="1">
      <alignment horizontal="left" vertical="center"/>
      <protection locked="0"/>
    </xf>
    <xf numFmtId="203" fontId="18" fillId="3" borderId="25" xfId="1" applyNumberFormat="1" applyFont="1" applyFill="1" applyBorder="1" applyAlignment="1" applyProtection="1">
      <alignment horizontal="center" vertical="center"/>
      <protection locked="0"/>
    </xf>
    <xf numFmtId="203" fontId="18" fillId="3" borderId="33" xfId="1" applyNumberFormat="1" applyFont="1" applyFill="1" applyBorder="1" applyAlignment="1" applyProtection="1">
      <alignment horizontal="center" vertical="center"/>
      <protection locked="0"/>
    </xf>
    <xf numFmtId="0" fontId="10" fillId="0" borderId="21" xfId="1" applyNumberFormat="1" applyFont="1" applyFill="1" applyBorder="1" applyAlignment="1" applyProtection="1">
      <alignment horizontal="center" vertical="center"/>
    </xf>
    <xf numFmtId="0" fontId="10" fillId="0" borderId="22" xfId="1" applyNumberFormat="1" applyFont="1" applyFill="1" applyBorder="1" applyAlignment="1" applyProtection="1">
      <alignment horizontal="center" vertical="center"/>
    </xf>
    <xf numFmtId="0" fontId="17" fillId="0" borderId="21" xfId="1" applyFont="1" applyFill="1" applyBorder="1" applyAlignment="1" applyProtection="1">
      <alignment horizontal="left" vertical="center"/>
    </xf>
    <xf numFmtId="0" fontId="17" fillId="0" borderId="13" xfId="1" applyFont="1" applyFill="1" applyBorder="1" applyAlignment="1" applyProtection="1">
      <alignment horizontal="left" vertical="center"/>
    </xf>
    <xf numFmtId="0" fontId="17" fillId="0" borderId="22" xfId="1" applyFont="1" applyFill="1" applyBorder="1" applyAlignment="1" applyProtection="1">
      <alignment horizontal="left" vertical="center"/>
    </xf>
    <xf numFmtId="0" fontId="17" fillId="0" borderId="21" xfId="1" applyNumberFormat="1" applyFont="1" applyFill="1" applyBorder="1" applyAlignment="1" applyProtection="1">
      <alignment horizontal="left" vertical="center"/>
    </xf>
    <xf numFmtId="0" fontId="17" fillId="0" borderId="13" xfId="1" applyNumberFormat="1" applyFont="1" applyFill="1" applyBorder="1" applyAlignment="1" applyProtection="1">
      <alignment horizontal="left" vertical="center"/>
    </xf>
    <xf numFmtId="0" fontId="17" fillId="0" borderId="22" xfId="1" applyNumberFormat="1" applyFont="1" applyFill="1" applyBorder="1" applyAlignment="1" applyProtection="1">
      <alignment horizontal="left" vertical="center"/>
    </xf>
    <xf numFmtId="0" fontId="17" fillId="0" borderId="19" xfId="1" applyNumberFormat="1" applyFont="1" applyFill="1" applyBorder="1" applyAlignment="1" applyProtection="1">
      <alignment horizontal="left" vertical="center" wrapText="1"/>
    </xf>
    <xf numFmtId="0" fontId="17" fillId="0" borderId="9" xfId="1" applyNumberFormat="1" applyFont="1" applyFill="1" applyBorder="1" applyAlignment="1" applyProtection="1">
      <alignment horizontal="left" vertical="center" wrapText="1"/>
    </xf>
    <xf numFmtId="0" fontId="18" fillId="3" borderId="1" xfId="1" applyFont="1" applyFill="1" applyBorder="1" applyAlignment="1" applyProtection="1">
      <alignment horizontal="left" vertical="center"/>
      <protection locked="0"/>
    </xf>
    <xf numFmtId="0" fontId="17" fillId="0" borderId="25" xfId="1" applyFont="1" applyFill="1" applyBorder="1" applyAlignment="1" applyProtection="1">
      <alignment horizontal="left" vertical="center" wrapText="1"/>
    </xf>
    <xf numFmtId="0" fontId="17" fillId="0" borderId="20" xfId="1" applyFont="1" applyFill="1" applyBorder="1" applyAlignment="1" applyProtection="1">
      <alignment horizontal="left" vertical="center" wrapText="1"/>
    </xf>
    <xf numFmtId="0" fontId="17" fillId="0" borderId="33" xfId="1" applyFont="1" applyFill="1" applyBorder="1" applyAlignment="1" applyProtection="1">
      <alignment horizontal="left" vertical="center" wrapText="1"/>
    </xf>
    <xf numFmtId="217" fontId="18" fillId="3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25" xfId="2" applyFont="1" applyFill="1" applyBorder="1" applyAlignment="1" applyProtection="1">
      <alignment horizontal="left" vertical="center" wrapText="1"/>
    </xf>
    <xf numFmtId="0" fontId="14" fillId="0" borderId="20" xfId="2" applyFont="1" applyFill="1" applyBorder="1" applyAlignment="1" applyProtection="1">
      <alignment horizontal="left" vertical="center" wrapText="1"/>
    </xf>
    <xf numFmtId="0" fontId="14" fillId="0" borderId="33" xfId="2" applyFont="1" applyFill="1" applyBorder="1" applyAlignment="1" applyProtection="1">
      <alignment horizontal="left" vertical="center" wrapText="1"/>
    </xf>
    <xf numFmtId="0" fontId="17" fillId="0" borderId="25" xfId="1" applyFont="1" applyFill="1" applyBorder="1" applyAlignment="1" applyProtection="1">
      <alignment horizontal="left" vertical="center"/>
    </xf>
    <xf numFmtId="0" fontId="17" fillId="0" borderId="20" xfId="1" applyFont="1" applyFill="1" applyBorder="1" applyAlignment="1" applyProtection="1">
      <alignment horizontal="left" vertical="center"/>
    </xf>
    <xf numFmtId="0" fontId="17" fillId="0" borderId="33" xfId="1" applyFont="1" applyFill="1" applyBorder="1" applyAlignment="1" applyProtection="1">
      <alignment horizontal="left" vertical="center"/>
    </xf>
    <xf numFmtId="216" fontId="18" fillId="3" borderId="33" xfId="1" applyNumberFormat="1" applyFont="1" applyFill="1" applyBorder="1" applyAlignment="1" applyProtection="1">
      <alignment horizontal="left" vertical="center"/>
      <protection locked="0"/>
    </xf>
    <xf numFmtId="216" fontId="18" fillId="3" borderId="1" xfId="1" applyNumberFormat="1" applyFont="1" applyFill="1" applyBorder="1" applyAlignment="1" applyProtection="1">
      <alignment horizontal="left" vertical="center"/>
      <protection locked="0"/>
    </xf>
    <xf numFmtId="0" fontId="18" fillId="3" borderId="44" xfId="1" applyNumberFormat="1" applyFont="1" applyFill="1" applyBorder="1" applyAlignment="1" applyProtection="1">
      <alignment horizontal="center" vertical="center"/>
      <protection locked="0"/>
    </xf>
    <xf numFmtId="0" fontId="17" fillId="3" borderId="25" xfId="1" applyFont="1" applyFill="1" applyBorder="1" applyAlignment="1" applyProtection="1">
      <alignment horizontal="left" vertical="center" wrapText="1"/>
      <protection locked="0"/>
    </xf>
    <xf numFmtId="0" fontId="17" fillId="3" borderId="20" xfId="1" applyFont="1" applyFill="1" applyBorder="1" applyAlignment="1" applyProtection="1">
      <alignment horizontal="left" vertical="center" wrapText="1"/>
      <protection locked="0"/>
    </xf>
    <xf numFmtId="0" fontId="17" fillId="3" borderId="33" xfId="1" applyFont="1" applyFill="1" applyBorder="1" applyAlignment="1" applyProtection="1">
      <alignment horizontal="left" vertical="center" wrapText="1"/>
      <protection locked="0"/>
    </xf>
    <xf numFmtId="4" fontId="18" fillId="3" borderId="1" xfId="1" applyNumberFormat="1" applyFont="1" applyFill="1" applyBorder="1" applyAlignment="1" applyProtection="1">
      <alignment horizontal="left" vertical="center"/>
      <protection locked="0"/>
    </xf>
    <xf numFmtId="0" fontId="16" fillId="0" borderId="23" xfId="2" applyFont="1" applyFill="1" applyBorder="1" applyAlignment="1" applyProtection="1">
      <alignment horizontal="left" vertical="center" wrapText="1"/>
    </xf>
    <xf numFmtId="0" fontId="16" fillId="0" borderId="18" xfId="2" applyFont="1" applyFill="1" applyBorder="1" applyAlignment="1" applyProtection="1">
      <alignment horizontal="left" vertical="center" wrapText="1"/>
    </xf>
    <xf numFmtId="0" fontId="20" fillId="0" borderId="3" xfId="2" applyFont="1" applyFill="1" applyBorder="1" applyAlignment="1" applyProtection="1">
      <alignment horizontal="center" vertical="center" wrapText="1"/>
    </xf>
    <xf numFmtId="0" fontId="20" fillId="0" borderId="3" xfId="2" applyFont="1" applyFill="1" applyBorder="1" applyAlignment="1" applyProtection="1">
      <alignment horizontal="center" vertical="center"/>
    </xf>
    <xf numFmtId="0" fontId="3" fillId="4" borderId="25" xfId="3" applyFont="1" applyFill="1" applyBorder="1" applyAlignment="1" applyProtection="1">
      <alignment horizontal="left" vertical="center" wrapText="1"/>
      <protection locked="0"/>
    </xf>
    <xf numFmtId="0" fontId="7" fillId="4" borderId="20" xfId="3" applyFont="1" applyFill="1" applyBorder="1" applyAlignment="1" applyProtection="1">
      <alignment horizontal="left" vertical="center" wrapText="1"/>
      <protection locked="0"/>
    </xf>
    <xf numFmtId="0" fontId="7" fillId="4" borderId="33" xfId="3" applyFont="1" applyFill="1" applyBorder="1" applyAlignment="1" applyProtection="1">
      <alignment horizontal="left" vertical="center" wrapText="1"/>
      <protection locked="0"/>
    </xf>
    <xf numFmtId="0" fontId="2" fillId="0" borderId="25" xfId="2" applyFont="1" applyBorder="1" applyAlignment="1" applyProtection="1">
      <alignment horizontal="left" vertical="center" wrapText="1"/>
    </xf>
    <xf numFmtId="0" fontId="2" fillId="0" borderId="20" xfId="2" applyFont="1" applyBorder="1" applyAlignment="1" applyProtection="1">
      <alignment horizontal="left" vertical="center" wrapText="1"/>
    </xf>
    <xf numFmtId="0" fontId="2" fillId="0" borderId="33" xfId="2" applyFont="1" applyBorder="1" applyAlignment="1" applyProtection="1">
      <alignment horizontal="left" vertical="center" wrapText="1"/>
    </xf>
    <xf numFmtId="0" fontId="7" fillId="0" borderId="1" xfId="1" applyFont="1" applyFill="1" applyBorder="1" applyAlignment="1" applyProtection="1">
      <alignment horizontal="left" vertical="center" wrapText="1"/>
    </xf>
    <xf numFmtId="0" fontId="10" fillId="0" borderId="1" xfId="1" applyFont="1" applyFill="1" applyBorder="1" applyAlignment="1" applyProtection="1">
      <alignment horizontal="center" vertical="center" wrapText="1"/>
    </xf>
    <xf numFmtId="2" fontId="16" fillId="3" borderId="1" xfId="1" applyNumberFormat="1" applyFont="1" applyFill="1" applyBorder="1" applyAlignment="1" applyProtection="1">
      <alignment horizontal="center" vertical="center"/>
      <protection locked="0"/>
    </xf>
    <xf numFmtId="2" fontId="17" fillId="0" borderId="1" xfId="1" applyNumberFormat="1" applyFont="1" applyFill="1" applyBorder="1" applyAlignment="1" applyProtection="1">
      <alignment horizontal="center" vertical="center"/>
    </xf>
    <xf numFmtId="2" fontId="17" fillId="0" borderId="23" xfId="1" applyNumberFormat="1" applyFont="1" applyFill="1" applyBorder="1" applyAlignment="1" applyProtection="1">
      <alignment horizontal="center" vertical="center"/>
    </xf>
    <xf numFmtId="0" fontId="3" fillId="4" borderId="20" xfId="3" applyFont="1" applyFill="1" applyBorder="1" applyAlignment="1" applyProtection="1">
      <alignment horizontal="left" vertical="center" wrapText="1"/>
      <protection locked="0"/>
    </xf>
    <xf numFmtId="0" fontId="18" fillId="0" borderId="25" xfId="1" applyNumberFormat="1" applyFont="1" applyFill="1" applyBorder="1" applyAlignment="1" applyProtection="1">
      <alignment horizontal="center" vertical="center" shrinkToFit="1"/>
    </xf>
    <xf numFmtId="0" fontId="18" fillId="0" borderId="20" xfId="1" applyNumberFormat="1" applyFont="1" applyFill="1" applyBorder="1" applyAlignment="1" applyProtection="1">
      <alignment horizontal="center" vertical="center" shrinkToFit="1"/>
    </xf>
    <xf numFmtId="0" fontId="18" fillId="0" borderId="33" xfId="1" applyNumberFormat="1" applyFont="1" applyFill="1" applyBorder="1" applyAlignment="1" applyProtection="1">
      <alignment horizontal="center" vertical="center" shrinkToFit="1"/>
    </xf>
    <xf numFmtId="2" fontId="18" fillId="3" borderId="47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2" fontId="18" fillId="3" borderId="1" xfId="1" applyNumberFormat="1" applyFont="1" applyFill="1" applyBorder="1" applyAlignment="1" applyProtection="1">
      <alignment horizontal="center" vertical="center"/>
      <protection locked="0"/>
    </xf>
    <xf numFmtId="0" fontId="7" fillId="4" borderId="25" xfId="3" applyFont="1" applyFill="1" applyBorder="1" applyAlignment="1" applyProtection="1">
      <alignment horizontal="left" vertical="center" wrapText="1"/>
      <protection locked="0"/>
    </xf>
    <xf numFmtId="0" fontId="1" fillId="2" borderId="20" xfId="1" applyBorder="1" applyAlignment="1" applyProtection="1">
      <alignment horizontal="left" vertical="center" wrapText="1"/>
      <protection locked="0"/>
    </xf>
    <xf numFmtId="0" fontId="1" fillId="2" borderId="33" xfId="1" applyBorder="1" applyAlignment="1" applyProtection="1">
      <alignment horizontal="left" vertical="center" wrapText="1"/>
      <protection locked="0"/>
    </xf>
    <xf numFmtId="4" fontId="17" fillId="3" borderId="30" xfId="2" applyNumberFormat="1" applyFont="1" applyFill="1" applyBorder="1" applyAlignment="1" applyProtection="1">
      <alignment horizontal="center" vertical="center"/>
      <protection locked="0"/>
    </xf>
    <xf numFmtId="4" fontId="17" fillId="3" borderId="31" xfId="2" applyNumberFormat="1" applyFont="1" applyFill="1" applyBorder="1" applyAlignment="1" applyProtection="1">
      <alignment horizontal="center" vertical="center"/>
      <protection locked="0"/>
    </xf>
    <xf numFmtId="4" fontId="17" fillId="3" borderId="32" xfId="2" applyNumberFormat="1" applyFont="1" applyFill="1" applyBorder="1" applyAlignment="1" applyProtection="1">
      <alignment horizontal="center" vertical="center"/>
      <protection locked="0"/>
    </xf>
    <xf numFmtId="0" fontId="7" fillId="0" borderId="23" xfId="1" applyFont="1" applyFill="1" applyBorder="1" applyAlignment="1" applyProtection="1">
      <alignment horizontal="left" vertical="center" wrapText="1"/>
    </xf>
    <xf numFmtId="2" fontId="18" fillId="6" borderId="50" xfId="1" applyNumberFormat="1" applyFont="1" applyFill="1" applyBorder="1" applyAlignment="1" applyProtection="1">
      <alignment horizontal="center" vertical="center"/>
    </xf>
    <xf numFmtId="0" fontId="10" fillId="0" borderId="23" xfId="1" applyFont="1" applyFill="1" applyBorder="1" applyAlignment="1" applyProtection="1">
      <alignment horizontal="center" vertical="center" wrapText="1"/>
    </xf>
    <xf numFmtId="2" fontId="18" fillId="3" borderId="23" xfId="1" applyNumberFormat="1" applyFont="1" applyFill="1" applyBorder="1" applyAlignment="1" applyProtection="1">
      <alignment horizontal="center" vertical="center"/>
      <protection locked="0"/>
    </xf>
    <xf numFmtId="2" fontId="16" fillId="3" borderId="23" xfId="1" applyNumberFormat="1" applyFont="1" applyFill="1" applyBorder="1" applyAlignment="1" applyProtection="1">
      <alignment horizontal="center" vertical="center"/>
      <protection locked="0"/>
    </xf>
    <xf numFmtId="0" fontId="19" fillId="0" borderId="2" xfId="2" applyFont="1" applyFill="1" applyBorder="1" applyAlignment="1" applyProtection="1">
      <alignment horizontal="center" vertical="center"/>
    </xf>
    <xf numFmtId="0" fontId="7" fillId="4" borderId="1" xfId="1" applyFont="1" applyFill="1" applyBorder="1" applyAlignment="1" applyProtection="1">
      <alignment horizontal="left" vertical="center" wrapText="1"/>
      <protection locked="0"/>
    </xf>
    <xf numFmtId="0" fontId="17" fillId="0" borderId="21" xfId="1" applyNumberFormat="1" applyFont="1" applyFill="1" applyBorder="1" applyAlignment="1" applyProtection="1">
      <alignment horizontal="left" vertical="center" wrapText="1"/>
    </xf>
    <xf numFmtId="0" fontId="17" fillId="0" borderId="13" xfId="1" applyNumberFormat="1" applyFont="1" applyFill="1" applyBorder="1" applyAlignment="1" applyProtection="1">
      <alignment horizontal="left" vertical="center" wrapText="1"/>
    </xf>
    <xf numFmtId="0" fontId="17" fillId="0" borderId="34" xfId="1" applyNumberFormat="1" applyFont="1" applyFill="1" applyBorder="1" applyAlignment="1" applyProtection="1">
      <alignment horizontal="left" vertical="center" wrapText="1"/>
    </xf>
    <xf numFmtId="211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211" fontId="13" fillId="3" borderId="35" xfId="1" applyNumberFormat="1" applyFont="1" applyFill="1" applyBorder="1" applyAlignment="1" applyProtection="1">
      <alignment horizontal="center" vertical="center" wrapText="1"/>
      <protection locked="0"/>
    </xf>
    <xf numFmtId="211" fontId="13" fillId="3" borderId="29" xfId="1" applyNumberFormat="1" applyFont="1" applyFill="1" applyBorder="1" applyAlignment="1" applyProtection="1">
      <alignment horizontal="center" vertical="center" wrapText="1"/>
      <protection locked="0"/>
    </xf>
    <xf numFmtId="3" fontId="13" fillId="3" borderId="36" xfId="1" quotePrefix="1" applyNumberFormat="1" applyFont="1" applyFill="1" applyBorder="1" applyAlignment="1" applyProtection="1">
      <alignment horizontal="center" vertical="center" wrapText="1"/>
      <protection locked="0"/>
    </xf>
    <xf numFmtId="3" fontId="13" fillId="3" borderId="35" xfId="1" applyNumberFormat="1" applyFont="1" applyFill="1" applyBorder="1" applyAlignment="1" applyProtection="1">
      <alignment horizontal="center" vertical="center" wrapText="1"/>
      <protection locked="0"/>
    </xf>
    <xf numFmtId="3" fontId="13" fillId="3" borderId="37" xfId="1" applyNumberFormat="1" applyFont="1" applyFill="1" applyBorder="1" applyAlignment="1" applyProtection="1">
      <alignment horizontal="center" vertical="center" wrapText="1"/>
      <protection locked="0"/>
    </xf>
    <xf numFmtId="210" fontId="13" fillId="3" borderId="36" xfId="1" applyNumberFormat="1" applyFont="1" applyFill="1" applyBorder="1" applyAlignment="1" applyProtection="1">
      <alignment horizontal="center" vertical="center" wrapText="1"/>
      <protection locked="0"/>
    </xf>
    <xf numFmtId="210" fontId="13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0" fillId="0" borderId="38" xfId="1" applyNumberFormat="1" applyFont="1" applyFill="1" applyBorder="1" applyAlignment="1" applyProtection="1">
      <alignment horizontal="center" vertical="center" wrapText="1"/>
    </xf>
    <xf numFmtId="0" fontId="10" fillId="0" borderId="22" xfId="1" applyNumberFormat="1" applyFont="1" applyFill="1" applyBorder="1" applyAlignment="1" applyProtection="1">
      <alignment horizontal="center" vertical="center" wrapText="1"/>
    </xf>
    <xf numFmtId="0" fontId="15" fillId="0" borderId="25" xfId="2" applyFont="1" applyFill="1" applyBorder="1" applyAlignment="1" applyProtection="1">
      <alignment horizontal="left" vertical="center" wrapText="1"/>
    </xf>
    <xf numFmtId="0" fontId="15" fillId="0" borderId="20" xfId="2" applyFont="1" applyFill="1" applyBorder="1" applyAlignment="1" applyProtection="1">
      <alignment horizontal="left" vertical="center" wrapText="1"/>
    </xf>
    <xf numFmtId="0" fontId="15" fillId="0" borderId="33" xfId="2" applyFont="1" applyFill="1" applyBorder="1" applyAlignment="1" applyProtection="1">
      <alignment horizontal="left" vertical="center" wrapText="1"/>
    </xf>
    <xf numFmtId="49" fontId="16" fillId="0" borderId="39" xfId="2" applyNumberFormat="1" applyFont="1" applyFill="1" applyBorder="1" applyAlignment="1" applyProtection="1">
      <alignment horizontal="center" vertical="top"/>
    </xf>
    <xf numFmtId="49" fontId="16" fillId="0" borderId="2" xfId="2" applyNumberFormat="1" applyFont="1" applyFill="1" applyBorder="1" applyAlignment="1" applyProtection="1">
      <alignment horizontal="center" vertical="top"/>
    </xf>
    <xf numFmtId="49" fontId="16" fillId="0" borderId="40" xfId="2" applyNumberFormat="1" applyFont="1" applyFill="1" applyBorder="1" applyAlignment="1" applyProtection="1">
      <alignment horizontal="center" vertical="top"/>
    </xf>
    <xf numFmtId="0" fontId="17" fillId="0" borderId="41" xfId="2" applyFont="1" applyFill="1" applyBorder="1" applyAlignment="1" applyProtection="1">
      <alignment horizontal="center"/>
    </xf>
    <xf numFmtId="0" fontId="17" fillId="0" borderId="0" xfId="2" applyFont="1" applyFill="1" applyBorder="1" applyAlignment="1" applyProtection="1">
      <alignment horizontal="center"/>
    </xf>
    <xf numFmtId="0" fontId="17" fillId="0" borderId="42" xfId="2" applyFont="1" applyFill="1" applyBorder="1" applyAlignment="1" applyProtection="1">
      <alignment horizontal="center"/>
    </xf>
    <xf numFmtId="0" fontId="13" fillId="0" borderId="25" xfId="0" applyFont="1" applyFill="1" applyBorder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/>
    </xf>
    <xf numFmtId="0" fontId="13" fillId="0" borderId="33" xfId="0" applyFont="1" applyFill="1" applyBorder="1" applyAlignment="1" applyProtection="1">
      <alignment horizontal="center" vertical="center"/>
    </xf>
    <xf numFmtId="1" fontId="18" fillId="3" borderId="26" xfId="1" applyNumberFormat="1" applyFont="1" applyFill="1" applyBorder="1" applyAlignment="1" applyProtection="1">
      <alignment horizontal="center" vertical="center"/>
      <protection locked="0"/>
    </xf>
    <xf numFmtId="1" fontId="18" fillId="3" borderId="27" xfId="1" applyNumberFormat="1" applyFont="1" applyFill="1" applyBorder="1" applyAlignment="1" applyProtection="1">
      <alignment horizontal="center" vertical="center"/>
      <protection locked="0"/>
    </xf>
    <xf numFmtId="1" fontId="18" fillId="3" borderId="28" xfId="1" applyNumberFormat="1" applyFont="1" applyFill="1" applyBorder="1" applyAlignment="1" applyProtection="1">
      <alignment horizontal="center" vertical="center"/>
      <protection locked="0"/>
    </xf>
    <xf numFmtId="210" fontId="13" fillId="3" borderId="4" xfId="1" applyNumberFormat="1" applyFont="1" applyFill="1" applyBorder="1" applyAlignment="1" applyProtection="1">
      <alignment horizontal="center" vertical="center" wrapText="1"/>
      <protection locked="0"/>
    </xf>
    <xf numFmtId="0" fontId="18" fillId="3" borderId="18" xfId="1" applyFont="1" applyFill="1" applyBorder="1" applyAlignment="1" applyProtection="1">
      <alignment horizontal="left" vertical="top" wrapText="1" shrinkToFit="1"/>
      <protection locked="0"/>
    </xf>
    <xf numFmtId="0" fontId="18" fillId="3" borderId="17" xfId="1" applyFont="1" applyFill="1" applyBorder="1" applyAlignment="1" applyProtection="1">
      <alignment horizontal="left" vertical="top" wrapText="1" shrinkToFit="1"/>
      <protection locked="0"/>
    </xf>
    <xf numFmtId="0" fontId="18" fillId="3" borderId="10" xfId="1" applyFont="1" applyFill="1" applyBorder="1" applyAlignment="1" applyProtection="1">
      <alignment horizontal="left" vertical="top" wrapText="1" shrinkToFit="1"/>
      <protection locked="0"/>
    </xf>
    <xf numFmtId="0" fontId="18" fillId="3" borderId="19" xfId="1" applyFont="1" applyFill="1" applyBorder="1" applyAlignment="1" applyProtection="1">
      <alignment horizontal="left" vertical="top" wrapText="1" shrinkToFit="1"/>
      <protection locked="0"/>
    </xf>
    <xf numFmtId="0" fontId="18" fillId="3" borderId="0" xfId="1" applyFont="1" applyFill="1" applyBorder="1" applyAlignment="1" applyProtection="1">
      <alignment horizontal="left" vertical="top" wrapText="1" shrinkToFit="1"/>
      <protection locked="0"/>
    </xf>
    <xf numFmtId="0" fontId="18" fillId="3" borderId="9" xfId="1" applyFont="1" applyFill="1" applyBorder="1" applyAlignment="1" applyProtection="1">
      <alignment horizontal="left" vertical="top" wrapText="1" shrinkToFit="1"/>
      <protection locked="0"/>
    </xf>
    <xf numFmtId="0" fontId="18" fillId="3" borderId="21" xfId="1" applyFont="1" applyFill="1" applyBorder="1" applyAlignment="1" applyProtection="1">
      <alignment horizontal="left" vertical="top" wrapText="1" shrinkToFit="1"/>
      <protection locked="0"/>
    </xf>
    <xf numFmtId="0" fontId="18" fillId="3" borderId="13" xfId="1" applyFont="1" applyFill="1" applyBorder="1" applyAlignment="1" applyProtection="1">
      <alignment horizontal="left" vertical="top" wrapText="1" shrinkToFit="1"/>
      <protection locked="0"/>
    </xf>
    <xf numFmtId="0" fontId="18" fillId="3" borderId="22" xfId="1" applyFont="1" applyFill="1" applyBorder="1" applyAlignment="1" applyProtection="1">
      <alignment horizontal="left" vertical="top" wrapText="1" shrinkToFit="1"/>
      <protection locked="0"/>
    </xf>
    <xf numFmtId="0" fontId="7" fillId="0" borderId="25" xfId="1" applyFont="1" applyFill="1" applyBorder="1" applyAlignment="1" applyProtection="1">
      <alignment horizontal="left" vertical="center" wrapText="1"/>
    </xf>
    <xf numFmtId="0" fontId="7" fillId="0" borderId="20" xfId="1" applyFont="1" applyFill="1" applyBorder="1" applyAlignment="1" applyProtection="1">
      <alignment horizontal="left" vertical="center" wrapText="1"/>
    </xf>
    <xf numFmtId="0" fontId="7" fillId="0" borderId="13" xfId="1" applyFont="1" applyFill="1" applyBorder="1" applyAlignment="1" applyProtection="1">
      <alignment horizontal="left" vertical="center" wrapText="1"/>
    </xf>
    <xf numFmtId="0" fontId="7" fillId="0" borderId="22" xfId="1" applyFont="1" applyFill="1" applyBorder="1" applyAlignment="1" applyProtection="1">
      <alignment horizontal="left" vertical="center" wrapText="1"/>
    </xf>
    <xf numFmtId="0" fontId="16" fillId="0" borderId="0" xfId="2" applyNumberFormat="1" applyFont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48" xfId="1" applyFont="1" applyFill="1" applyBorder="1" applyAlignment="1" applyProtection="1">
      <alignment horizontal="center" vertical="center" wrapText="1"/>
    </xf>
    <xf numFmtId="0" fontId="13" fillId="6" borderId="48" xfId="1" applyFont="1" applyFill="1" applyBorder="1" applyAlignment="1" applyProtection="1">
      <alignment horizontal="center" vertical="center" wrapText="1"/>
    </xf>
    <xf numFmtId="2" fontId="7" fillId="7" borderId="50" xfId="1" applyNumberFormat="1" applyFont="1" applyFill="1" applyBorder="1" applyAlignment="1" applyProtection="1">
      <alignment horizontal="center" vertical="center" wrapText="1"/>
    </xf>
    <xf numFmtId="0" fontId="16" fillId="0" borderId="24" xfId="2" applyFont="1" applyBorder="1" applyAlignment="1" applyProtection="1">
      <alignment horizontal="left" vertical="center"/>
    </xf>
    <xf numFmtId="0" fontId="16" fillId="0" borderId="19" xfId="2" applyFont="1" applyBorder="1" applyAlignment="1" applyProtection="1">
      <alignment horizontal="left" vertical="center"/>
    </xf>
    <xf numFmtId="0" fontId="18" fillId="3" borderId="13" xfId="2" applyFont="1" applyFill="1" applyBorder="1" applyAlignment="1" applyProtection="1">
      <alignment horizontal="left" vertical="center" shrinkToFit="1"/>
      <protection locked="0"/>
    </xf>
    <xf numFmtId="216" fontId="18" fillId="3" borderId="17" xfId="2" applyNumberFormat="1" applyFont="1" applyFill="1" applyBorder="1" applyAlignment="1" applyProtection="1">
      <alignment horizontal="left" vertical="center"/>
      <protection locked="0"/>
    </xf>
    <xf numFmtId="0" fontId="16" fillId="0" borderId="9" xfId="2" applyFont="1" applyFill="1" applyBorder="1" applyAlignment="1" applyProtection="1">
      <alignment horizontal="left" vertical="center" wrapText="1"/>
    </xf>
    <xf numFmtId="0" fontId="16" fillId="0" borderId="24" xfId="2" applyFont="1" applyFill="1" applyBorder="1" applyAlignment="1" applyProtection="1">
      <alignment horizontal="left" vertical="center" wrapText="1"/>
    </xf>
    <xf numFmtId="0" fontId="16" fillId="0" borderId="19" xfId="2" applyFont="1" applyFill="1" applyBorder="1" applyAlignment="1" applyProtection="1">
      <alignment horizontal="left" vertical="center" wrapText="1"/>
    </xf>
    <xf numFmtId="0" fontId="18" fillId="3" borderId="20" xfId="2" applyFont="1" applyFill="1" applyBorder="1" applyAlignment="1" applyProtection="1">
      <alignment horizontal="left" vertical="center"/>
      <protection locked="0"/>
    </xf>
    <xf numFmtId="0" fontId="18" fillId="3" borderId="13" xfId="1" applyNumberFormat="1" applyFont="1" applyFill="1" applyBorder="1" applyAlignment="1" applyProtection="1">
      <alignment horizontal="left" vertical="center" shrinkToFit="1"/>
      <protection locked="0"/>
    </xf>
    <xf numFmtId="2" fontId="18" fillId="6" borderId="47" xfId="1" applyNumberFormat="1" applyFont="1" applyFill="1" applyBorder="1" applyAlignment="1" applyProtection="1">
      <alignment horizontal="center" vertical="center"/>
    </xf>
    <xf numFmtId="2" fontId="18" fillId="6" borderId="48" xfId="1" applyNumberFormat="1" applyFont="1" applyFill="1" applyBorder="1" applyAlignment="1" applyProtection="1">
      <alignment horizontal="center" vertical="center"/>
    </xf>
    <xf numFmtId="0" fontId="7" fillId="6" borderId="48" xfId="1" applyFont="1" applyFill="1" applyBorder="1" applyAlignment="1" applyProtection="1">
      <alignment horizontal="left" vertical="center" wrapText="1"/>
    </xf>
    <xf numFmtId="0" fontId="7" fillId="6" borderId="49" xfId="1" applyFont="1" applyFill="1" applyBorder="1" applyAlignment="1" applyProtection="1">
      <alignment horizontal="left" vertical="center" wrapText="1"/>
    </xf>
    <xf numFmtId="218" fontId="18" fillId="3" borderId="17" xfId="2" applyNumberFormat="1" applyFont="1" applyFill="1" applyBorder="1" applyAlignment="1" applyProtection="1">
      <alignment horizontal="left" vertical="center"/>
      <protection locked="0"/>
    </xf>
    <xf numFmtId="0" fontId="13" fillId="0" borderId="48" xfId="0" applyFont="1" applyBorder="1" applyAlignment="1">
      <alignment horizontal="center" vertical="center" wrapText="1"/>
    </xf>
    <xf numFmtId="0" fontId="7" fillId="7" borderId="50" xfId="1" applyFont="1" applyFill="1" applyBorder="1" applyAlignment="1" applyProtection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7" fillId="0" borderId="48" xfId="1" applyFont="1" applyFill="1" applyBorder="1" applyAlignment="1" applyProtection="1">
      <alignment horizontal="left" vertical="center" wrapText="1"/>
    </xf>
    <xf numFmtId="0" fontId="7" fillId="0" borderId="49" xfId="1" applyFont="1" applyFill="1" applyBorder="1" applyAlignment="1" applyProtection="1">
      <alignment horizontal="left" vertical="center" wrapText="1"/>
    </xf>
    <xf numFmtId="0" fontId="1" fillId="0" borderId="48" xfId="2" applyBorder="1" applyAlignment="1" applyProtection="1">
      <alignment horizontal="left" vertical="center" wrapText="1"/>
    </xf>
    <xf numFmtId="0" fontId="16" fillId="6" borderId="14" xfId="1" applyFont="1" applyFill="1" applyBorder="1" applyAlignment="1" applyProtection="1">
      <alignment horizontal="left" vertical="center" wrapText="1" indent="1"/>
    </xf>
    <xf numFmtId="0" fontId="16" fillId="6" borderId="15" xfId="1" applyFont="1" applyFill="1" applyBorder="1" applyAlignment="1" applyProtection="1">
      <alignment horizontal="left" vertical="center" wrapText="1" indent="1"/>
    </xf>
    <xf numFmtId="0" fontId="16" fillId="6" borderId="16" xfId="1" applyFont="1" applyFill="1" applyBorder="1" applyAlignment="1" applyProtection="1">
      <alignment horizontal="left" vertical="center" wrapText="1" indent="1"/>
    </xf>
    <xf numFmtId="0" fontId="18" fillId="3" borderId="17" xfId="2" applyFont="1" applyFill="1" applyBorder="1" applyAlignment="1" applyProtection="1">
      <alignment horizontal="left" vertical="center"/>
      <protection locked="0"/>
    </xf>
    <xf numFmtId="0" fontId="28" fillId="0" borderId="18" xfId="2" applyFont="1" applyBorder="1" applyAlignment="1" applyProtection="1">
      <alignment horizontal="left" vertical="center" wrapText="1"/>
    </xf>
    <xf numFmtId="0" fontId="28" fillId="0" borderId="17" xfId="2" applyFont="1" applyBorder="1" applyAlignment="1" applyProtection="1">
      <alignment horizontal="left" vertical="center" wrapText="1"/>
    </xf>
    <xf numFmtId="0" fontId="28" fillId="0" borderId="10" xfId="2" applyFont="1" applyBorder="1" applyAlignment="1" applyProtection="1">
      <alignment horizontal="left" vertical="center" wrapText="1"/>
    </xf>
    <xf numFmtId="0" fontId="28" fillId="0" borderId="19" xfId="2" applyFont="1" applyBorder="1" applyAlignment="1" applyProtection="1">
      <alignment horizontal="left" vertical="center" wrapText="1"/>
    </xf>
    <xf numFmtId="0" fontId="28" fillId="0" borderId="0" xfId="2" applyFont="1" applyBorder="1" applyAlignment="1" applyProtection="1">
      <alignment horizontal="left" vertical="center" wrapText="1"/>
    </xf>
    <xf numFmtId="0" fontId="28" fillId="0" borderId="9" xfId="2" applyFont="1" applyBorder="1" applyAlignment="1" applyProtection="1">
      <alignment horizontal="left" vertical="center" wrapText="1"/>
    </xf>
  </cellXfs>
  <cellStyles count="4">
    <cellStyle name="Normal" xfId="0" builtinId="0"/>
    <cellStyle name="Normal_24DefProposta de construção de unidade isolada- v23" xfId="1"/>
    <cellStyle name="Normal_LAE-OGU" xfId="2"/>
    <cellStyle name="Normal_RVT FL - 01" xfId="3"/>
  </cellStyles>
  <dxfs count="9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24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24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33</xdr:row>
      <xdr:rowOff>114300</xdr:rowOff>
    </xdr:from>
    <xdr:to>
      <xdr:col>17</xdr:col>
      <xdr:colOff>76200</xdr:colOff>
      <xdr:row>36</xdr:row>
      <xdr:rowOff>142875</xdr:rowOff>
    </xdr:to>
    <xdr:pic macro="[0]!VeriAWP">
      <xdr:nvPicPr>
        <xdr:cNvPr id="337861" name="lcaixa" descr="Logo_CAIXA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638800"/>
          <a:ext cx="1447800" cy="32385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47625</xdr:colOff>
      <xdr:row>95</xdr:row>
      <xdr:rowOff>38100</xdr:rowOff>
    </xdr:from>
    <xdr:to>
      <xdr:col>7</xdr:col>
      <xdr:colOff>123825</xdr:colOff>
      <xdr:row>97</xdr:row>
      <xdr:rowOff>104775</xdr:rowOff>
    </xdr:to>
    <xdr:sp macro="[0]!InsFot" textlink="">
      <xdr:nvSpPr>
        <xdr:cNvPr id="337862" name="Inst01"/>
        <xdr:cNvSpPr>
          <a:spLocks noChangeArrowheads="1"/>
        </xdr:cNvSpPr>
      </xdr:nvSpPr>
      <xdr:spPr bwMode="auto">
        <a:xfrm>
          <a:off x="104775" y="132873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109</xdr:row>
      <xdr:rowOff>85725</xdr:rowOff>
    </xdr:from>
    <xdr:to>
      <xdr:col>26</xdr:col>
      <xdr:colOff>114300</xdr:colOff>
      <xdr:row>110</xdr:row>
      <xdr:rowOff>95250</xdr:rowOff>
    </xdr:to>
    <xdr:sp macro="[0]!LmpFoto" textlink="">
      <xdr:nvSpPr>
        <xdr:cNvPr id="337863" name="Dele01"/>
        <xdr:cNvSpPr>
          <a:spLocks noChangeArrowheads="1"/>
        </xdr:cNvSpPr>
      </xdr:nvSpPr>
      <xdr:spPr bwMode="auto">
        <a:xfrm>
          <a:off x="3076575" y="152019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95</xdr:row>
      <xdr:rowOff>38100</xdr:rowOff>
    </xdr:from>
    <xdr:to>
      <xdr:col>29</xdr:col>
      <xdr:colOff>123825</xdr:colOff>
      <xdr:row>97</xdr:row>
      <xdr:rowOff>104775</xdr:rowOff>
    </xdr:to>
    <xdr:sp macro="[0]!InsFot" textlink="">
      <xdr:nvSpPr>
        <xdr:cNvPr id="337864" name="Inst02"/>
        <xdr:cNvSpPr>
          <a:spLocks noChangeArrowheads="1"/>
        </xdr:cNvSpPr>
      </xdr:nvSpPr>
      <xdr:spPr bwMode="auto">
        <a:xfrm>
          <a:off x="3362325" y="132873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109</xdr:row>
      <xdr:rowOff>85725</xdr:rowOff>
    </xdr:from>
    <xdr:to>
      <xdr:col>48</xdr:col>
      <xdr:colOff>114300</xdr:colOff>
      <xdr:row>110</xdr:row>
      <xdr:rowOff>95250</xdr:rowOff>
    </xdr:to>
    <xdr:sp macro="[0]!LmpFoto" textlink="">
      <xdr:nvSpPr>
        <xdr:cNvPr id="337865" name="Dele02"/>
        <xdr:cNvSpPr>
          <a:spLocks noChangeArrowheads="1"/>
        </xdr:cNvSpPr>
      </xdr:nvSpPr>
      <xdr:spPr bwMode="auto">
        <a:xfrm>
          <a:off x="6334125" y="152019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111</xdr:row>
      <xdr:rowOff>38100</xdr:rowOff>
    </xdr:from>
    <xdr:to>
      <xdr:col>7</xdr:col>
      <xdr:colOff>123825</xdr:colOff>
      <xdr:row>113</xdr:row>
      <xdr:rowOff>104775</xdr:rowOff>
    </xdr:to>
    <xdr:sp macro="[0]!InsFot" textlink="">
      <xdr:nvSpPr>
        <xdr:cNvPr id="337866" name="Inst03"/>
        <xdr:cNvSpPr>
          <a:spLocks noChangeArrowheads="1"/>
        </xdr:cNvSpPr>
      </xdr:nvSpPr>
      <xdr:spPr bwMode="auto">
        <a:xfrm>
          <a:off x="104775" y="154209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125</xdr:row>
      <xdr:rowOff>85725</xdr:rowOff>
    </xdr:from>
    <xdr:to>
      <xdr:col>26</xdr:col>
      <xdr:colOff>114300</xdr:colOff>
      <xdr:row>126</xdr:row>
      <xdr:rowOff>95250</xdr:rowOff>
    </xdr:to>
    <xdr:sp macro="[0]!LmpFoto" textlink="">
      <xdr:nvSpPr>
        <xdr:cNvPr id="337867" name="Dele03"/>
        <xdr:cNvSpPr>
          <a:spLocks noChangeArrowheads="1"/>
        </xdr:cNvSpPr>
      </xdr:nvSpPr>
      <xdr:spPr bwMode="auto">
        <a:xfrm>
          <a:off x="3076575" y="173355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111</xdr:row>
      <xdr:rowOff>38100</xdr:rowOff>
    </xdr:from>
    <xdr:to>
      <xdr:col>29</xdr:col>
      <xdr:colOff>123825</xdr:colOff>
      <xdr:row>113</xdr:row>
      <xdr:rowOff>104775</xdr:rowOff>
    </xdr:to>
    <xdr:sp macro="[0]!InsFot" textlink="">
      <xdr:nvSpPr>
        <xdr:cNvPr id="337868" name="Inst04"/>
        <xdr:cNvSpPr>
          <a:spLocks noChangeArrowheads="1"/>
        </xdr:cNvSpPr>
      </xdr:nvSpPr>
      <xdr:spPr bwMode="auto">
        <a:xfrm>
          <a:off x="3362325" y="154209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125</xdr:row>
      <xdr:rowOff>85725</xdr:rowOff>
    </xdr:from>
    <xdr:to>
      <xdr:col>48</xdr:col>
      <xdr:colOff>114300</xdr:colOff>
      <xdr:row>126</xdr:row>
      <xdr:rowOff>95250</xdr:rowOff>
    </xdr:to>
    <xdr:sp macro="[0]!LmpFoto" textlink="">
      <xdr:nvSpPr>
        <xdr:cNvPr id="337869" name="Dele04"/>
        <xdr:cNvSpPr>
          <a:spLocks noChangeArrowheads="1"/>
        </xdr:cNvSpPr>
      </xdr:nvSpPr>
      <xdr:spPr bwMode="auto">
        <a:xfrm>
          <a:off x="6334125" y="173355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127</xdr:row>
      <xdr:rowOff>38100</xdr:rowOff>
    </xdr:from>
    <xdr:to>
      <xdr:col>7</xdr:col>
      <xdr:colOff>123825</xdr:colOff>
      <xdr:row>129</xdr:row>
      <xdr:rowOff>104775</xdr:rowOff>
    </xdr:to>
    <xdr:sp macro="[0]!InsFot" textlink="">
      <xdr:nvSpPr>
        <xdr:cNvPr id="337870" name="Inst05"/>
        <xdr:cNvSpPr>
          <a:spLocks noChangeArrowheads="1"/>
        </xdr:cNvSpPr>
      </xdr:nvSpPr>
      <xdr:spPr bwMode="auto">
        <a:xfrm>
          <a:off x="104775" y="175545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141</xdr:row>
      <xdr:rowOff>85725</xdr:rowOff>
    </xdr:from>
    <xdr:to>
      <xdr:col>26</xdr:col>
      <xdr:colOff>114300</xdr:colOff>
      <xdr:row>142</xdr:row>
      <xdr:rowOff>95250</xdr:rowOff>
    </xdr:to>
    <xdr:sp macro="[0]!LmpFoto" textlink="">
      <xdr:nvSpPr>
        <xdr:cNvPr id="337871" name="Dele05"/>
        <xdr:cNvSpPr>
          <a:spLocks noChangeArrowheads="1"/>
        </xdr:cNvSpPr>
      </xdr:nvSpPr>
      <xdr:spPr bwMode="auto">
        <a:xfrm>
          <a:off x="3076575" y="194691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127</xdr:row>
      <xdr:rowOff>38100</xdr:rowOff>
    </xdr:from>
    <xdr:to>
      <xdr:col>29</xdr:col>
      <xdr:colOff>123825</xdr:colOff>
      <xdr:row>129</xdr:row>
      <xdr:rowOff>104775</xdr:rowOff>
    </xdr:to>
    <xdr:sp macro="[0]!InsFot" textlink="">
      <xdr:nvSpPr>
        <xdr:cNvPr id="337872" name="Inst06"/>
        <xdr:cNvSpPr>
          <a:spLocks noChangeArrowheads="1"/>
        </xdr:cNvSpPr>
      </xdr:nvSpPr>
      <xdr:spPr bwMode="auto">
        <a:xfrm>
          <a:off x="3362325" y="17554575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141</xdr:row>
      <xdr:rowOff>85725</xdr:rowOff>
    </xdr:from>
    <xdr:to>
      <xdr:col>48</xdr:col>
      <xdr:colOff>114300</xdr:colOff>
      <xdr:row>142</xdr:row>
      <xdr:rowOff>95250</xdr:rowOff>
    </xdr:to>
    <xdr:sp macro="[0]!LmpFoto" textlink="">
      <xdr:nvSpPr>
        <xdr:cNvPr id="337873" name="Dele06"/>
        <xdr:cNvSpPr>
          <a:spLocks noChangeArrowheads="1"/>
        </xdr:cNvSpPr>
      </xdr:nvSpPr>
      <xdr:spPr bwMode="auto">
        <a:xfrm>
          <a:off x="6334125" y="19469100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 editAs="oneCell">
    <xdr:from>
      <xdr:col>8</xdr:col>
      <xdr:colOff>47625</xdr:colOff>
      <xdr:row>2</xdr:row>
      <xdr:rowOff>28575</xdr:rowOff>
    </xdr:from>
    <xdr:to>
      <xdr:col>16</xdr:col>
      <xdr:colOff>66675</xdr:colOff>
      <xdr:row>3</xdr:row>
      <xdr:rowOff>104775</xdr:rowOff>
    </xdr:to>
    <xdr:pic>
      <xdr:nvPicPr>
        <xdr:cNvPr id="337874" name="lcaixa" descr="Logo_CAIXA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09550"/>
          <a:ext cx="1238250" cy="30480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38100</xdr:colOff>
      <xdr:row>54</xdr:row>
      <xdr:rowOff>38100</xdr:rowOff>
    </xdr:from>
    <xdr:to>
      <xdr:col>9</xdr:col>
      <xdr:colOff>114300</xdr:colOff>
      <xdr:row>54</xdr:row>
      <xdr:rowOff>114300</xdr:rowOff>
    </xdr:to>
    <xdr:sp macro="[0]!BotAlt" textlink="">
      <xdr:nvSpPr>
        <xdr:cNvPr id="337875" name="QO001,13.L0C0;L0C-3^"/>
        <xdr:cNvSpPr>
          <a:spLocks noChangeArrowheads="1"/>
        </xdr:cNvSpPr>
      </xdr:nvSpPr>
      <xdr:spPr bwMode="auto">
        <a:xfrm>
          <a:off x="5524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38100</xdr:colOff>
      <xdr:row>54</xdr:row>
      <xdr:rowOff>38100</xdr:rowOff>
    </xdr:from>
    <xdr:to>
      <xdr:col>17</xdr:col>
      <xdr:colOff>114300</xdr:colOff>
      <xdr:row>54</xdr:row>
      <xdr:rowOff>114300</xdr:rowOff>
    </xdr:to>
    <xdr:sp macro="[0]!BotAlt" textlink="">
      <xdr:nvSpPr>
        <xdr:cNvPr id="337876" name="QO001,23.L0C0;L0C-11^"/>
        <xdr:cNvSpPr>
          <a:spLocks noChangeArrowheads="1"/>
        </xdr:cNvSpPr>
      </xdr:nvSpPr>
      <xdr:spPr bwMode="auto">
        <a:xfrm>
          <a:off x="17716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25</xdr:col>
      <xdr:colOff>38100</xdr:colOff>
      <xdr:row>54</xdr:row>
      <xdr:rowOff>38100</xdr:rowOff>
    </xdr:from>
    <xdr:to>
      <xdr:col>25</xdr:col>
      <xdr:colOff>114300</xdr:colOff>
      <xdr:row>54</xdr:row>
      <xdr:rowOff>114300</xdr:rowOff>
    </xdr:to>
    <xdr:sp macro="[0]!BotAlt" textlink="">
      <xdr:nvSpPr>
        <xdr:cNvPr id="337877" name="QO001,33.L0C0;L0C-19^L0C7"/>
        <xdr:cNvSpPr>
          <a:spLocks noChangeArrowheads="1"/>
        </xdr:cNvSpPr>
      </xdr:nvSpPr>
      <xdr:spPr bwMode="auto">
        <a:xfrm>
          <a:off x="2990850" y="81629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38100</xdr:colOff>
      <xdr:row>56</xdr:row>
      <xdr:rowOff>38100</xdr:rowOff>
    </xdr:from>
    <xdr:to>
      <xdr:col>9</xdr:col>
      <xdr:colOff>114300</xdr:colOff>
      <xdr:row>56</xdr:row>
      <xdr:rowOff>114300</xdr:rowOff>
    </xdr:to>
    <xdr:sp macro="[0]!BotAlt" textlink="">
      <xdr:nvSpPr>
        <xdr:cNvPr id="337878" name="QO002,13.L0C0;L0C-3^"/>
        <xdr:cNvSpPr>
          <a:spLocks noChangeArrowheads="1"/>
        </xdr:cNvSpPr>
      </xdr:nvSpPr>
      <xdr:spPr bwMode="auto">
        <a:xfrm>
          <a:off x="55245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</xdr:col>
      <xdr:colOff>38100</xdr:colOff>
      <xdr:row>56</xdr:row>
      <xdr:rowOff>38100</xdr:rowOff>
    </xdr:from>
    <xdr:to>
      <xdr:col>23</xdr:col>
      <xdr:colOff>114300</xdr:colOff>
      <xdr:row>56</xdr:row>
      <xdr:rowOff>114300</xdr:rowOff>
    </xdr:to>
    <xdr:sp macro="[0]!BotAlt" textlink="">
      <xdr:nvSpPr>
        <xdr:cNvPr id="337879" name="QO002,23.L0C0;L0C-17^"/>
        <xdr:cNvSpPr>
          <a:spLocks noChangeArrowheads="1"/>
        </xdr:cNvSpPr>
      </xdr:nvSpPr>
      <xdr:spPr bwMode="auto">
        <a:xfrm>
          <a:off x="268605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37</xdr:col>
      <xdr:colOff>38100</xdr:colOff>
      <xdr:row>56</xdr:row>
      <xdr:rowOff>38100</xdr:rowOff>
    </xdr:from>
    <xdr:to>
      <xdr:col>37</xdr:col>
      <xdr:colOff>114300</xdr:colOff>
      <xdr:row>56</xdr:row>
      <xdr:rowOff>114300</xdr:rowOff>
    </xdr:to>
    <xdr:sp macro="[0]!BotAlt" textlink="">
      <xdr:nvSpPr>
        <xdr:cNvPr id="337880" name="QO002,33.L0C0;L0C-31^"/>
        <xdr:cNvSpPr>
          <a:spLocks noChangeArrowheads="1"/>
        </xdr:cNvSpPr>
      </xdr:nvSpPr>
      <xdr:spPr bwMode="auto">
        <a:xfrm>
          <a:off x="4724400" y="8429625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19050</xdr:colOff>
      <xdr:row>12</xdr:row>
      <xdr:rowOff>38100</xdr:rowOff>
    </xdr:from>
    <xdr:to>
      <xdr:col>6</xdr:col>
      <xdr:colOff>95250</xdr:colOff>
      <xdr:row>12</xdr:row>
      <xdr:rowOff>114300</xdr:rowOff>
    </xdr:to>
    <xdr:sp macro="" textlink="">
      <xdr:nvSpPr>
        <xdr:cNvPr id="337881" name="Quad1"/>
        <xdr:cNvSpPr>
          <a:spLocks noChangeArrowheads="1"/>
        </xdr:cNvSpPr>
      </xdr:nvSpPr>
      <xdr:spPr bwMode="auto">
        <a:xfrm>
          <a:off x="76200" y="1600200"/>
          <a:ext cx="76200" cy="76200"/>
        </a:xfrm>
        <a:prstGeom prst="rect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10</xdr:col>
      <xdr:colOff>19050</xdr:colOff>
      <xdr:row>12</xdr:row>
      <xdr:rowOff>38100</xdr:rowOff>
    </xdr:from>
    <xdr:to>
      <xdr:col>10</xdr:col>
      <xdr:colOff>95250</xdr:colOff>
      <xdr:row>12</xdr:row>
      <xdr:rowOff>114300</xdr:rowOff>
    </xdr:to>
    <xdr:sp macro="" textlink="">
      <xdr:nvSpPr>
        <xdr:cNvPr id="337882" name="Quad2"/>
        <xdr:cNvSpPr>
          <a:spLocks noChangeArrowheads="1"/>
        </xdr:cNvSpPr>
      </xdr:nvSpPr>
      <xdr:spPr bwMode="auto">
        <a:xfrm>
          <a:off x="685800" y="1600200"/>
          <a:ext cx="7620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38100</xdr:colOff>
      <xdr:row>216</xdr:row>
      <xdr:rowOff>38100</xdr:rowOff>
    </xdr:from>
    <xdr:to>
      <xdr:col>8</xdr:col>
      <xdr:colOff>114300</xdr:colOff>
      <xdr:row>216</xdr:row>
      <xdr:rowOff>114300</xdr:rowOff>
    </xdr:to>
    <xdr:sp macro="[0]!BotAlt" textlink="">
      <xdr:nvSpPr>
        <xdr:cNvPr id="337883" name="QO003,11.L0C0;L0C-2^"/>
        <xdr:cNvSpPr>
          <a:spLocks noChangeArrowheads="1"/>
        </xdr:cNvSpPr>
      </xdr:nvSpPr>
      <xdr:spPr bwMode="auto">
        <a:xfrm>
          <a:off x="400050" y="27908250"/>
          <a:ext cx="76200" cy="76200"/>
        </a:xfrm>
        <a:prstGeom prst="rect">
          <a:avLst/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47625</xdr:colOff>
      <xdr:row>144</xdr:row>
      <xdr:rowOff>38100</xdr:rowOff>
    </xdr:from>
    <xdr:to>
      <xdr:col>7</xdr:col>
      <xdr:colOff>123825</xdr:colOff>
      <xdr:row>146</xdr:row>
      <xdr:rowOff>104775</xdr:rowOff>
    </xdr:to>
    <xdr:sp macro="[0]!InsFot" textlink="">
      <xdr:nvSpPr>
        <xdr:cNvPr id="337884" name="Inst07"/>
        <xdr:cNvSpPr>
          <a:spLocks noChangeArrowheads="1"/>
        </xdr:cNvSpPr>
      </xdr:nvSpPr>
      <xdr:spPr bwMode="auto">
        <a:xfrm>
          <a:off x="104775" y="197358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158</xdr:row>
      <xdr:rowOff>85725</xdr:rowOff>
    </xdr:from>
    <xdr:to>
      <xdr:col>26</xdr:col>
      <xdr:colOff>114300</xdr:colOff>
      <xdr:row>159</xdr:row>
      <xdr:rowOff>95250</xdr:rowOff>
    </xdr:to>
    <xdr:sp macro="[0]!LmpFoto" textlink="">
      <xdr:nvSpPr>
        <xdr:cNvPr id="337885" name="Dele07"/>
        <xdr:cNvSpPr>
          <a:spLocks noChangeArrowheads="1"/>
        </xdr:cNvSpPr>
      </xdr:nvSpPr>
      <xdr:spPr bwMode="auto">
        <a:xfrm>
          <a:off x="3076575" y="216503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144</xdr:row>
      <xdr:rowOff>38100</xdr:rowOff>
    </xdr:from>
    <xdr:to>
      <xdr:col>29</xdr:col>
      <xdr:colOff>123825</xdr:colOff>
      <xdr:row>146</xdr:row>
      <xdr:rowOff>104775</xdr:rowOff>
    </xdr:to>
    <xdr:sp macro="[0]!InsFot" textlink="">
      <xdr:nvSpPr>
        <xdr:cNvPr id="337886" name="Inst08"/>
        <xdr:cNvSpPr>
          <a:spLocks noChangeArrowheads="1"/>
        </xdr:cNvSpPr>
      </xdr:nvSpPr>
      <xdr:spPr bwMode="auto">
        <a:xfrm>
          <a:off x="3362325" y="197358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158</xdr:row>
      <xdr:rowOff>85725</xdr:rowOff>
    </xdr:from>
    <xdr:to>
      <xdr:col>48</xdr:col>
      <xdr:colOff>114300</xdr:colOff>
      <xdr:row>159</xdr:row>
      <xdr:rowOff>95250</xdr:rowOff>
    </xdr:to>
    <xdr:sp macro="[0]!LmpFoto" textlink="">
      <xdr:nvSpPr>
        <xdr:cNvPr id="337887" name="Dele08"/>
        <xdr:cNvSpPr>
          <a:spLocks noChangeArrowheads="1"/>
        </xdr:cNvSpPr>
      </xdr:nvSpPr>
      <xdr:spPr bwMode="auto">
        <a:xfrm>
          <a:off x="6334125" y="216503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160</xdr:row>
      <xdr:rowOff>38100</xdr:rowOff>
    </xdr:from>
    <xdr:to>
      <xdr:col>7</xdr:col>
      <xdr:colOff>123825</xdr:colOff>
      <xdr:row>162</xdr:row>
      <xdr:rowOff>104775</xdr:rowOff>
    </xdr:to>
    <xdr:sp macro="[0]!InsFot" textlink="">
      <xdr:nvSpPr>
        <xdr:cNvPr id="337888" name="Inst09"/>
        <xdr:cNvSpPr>
          <a:spLocks noChangeArrowheads="1"/>
        </xdr:cNvSpPr>
      </xdr:nvSpPr>
      <xdr:spPr bwMode="auto">
        <a:xfrm>
          <a:off x="104775" y="218694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174</xdr:row>
      <xdr:rowOff>85725</xdr:rowOff>
    </xdr:from>
    <xdr:to>
      <xdr:col>26</xdr:col>
      <xdr:colOff>114300</xdr:colOff>
      <xdr:row>175</xdr:row>
      <xdr:rowOff>95250</xdr:rowOff>
    </xdr:to>
    <xdr:sp macro="[0]!LmpFoto" textlink="">
      <xdr:nvSpPr>
        <xdr:cNvPr id="337889" name="Dele09"/>
        <xdr:cNvSpPr>
          <a:spLocks noChangeArrowheads="1"/>
        </xdr:cNvSpPr>
      </xdr:nvSpPr>
      <xdr:spPr bwMode="auto">
        <a:xfrm>
          <a:off x="3076575" y="237839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160</xdr:row>
      <xdr:rowOff>38100</xdr:rowOff>
    </xdr:from>
    <xdr:to>
      <xdr:col>29</xdr:col>
      <xdr:colOff>123825</xdr:colOff>
      <xdr:row>162</xdr:row>
      <xdr:rowOff>104775</xdr:rowOff>
    </xdr:to>
    <xdr:sp macro="[0]!InsFot" textlink="">
      <xdr:nvSpPr>
        <xdr:cNvPr id="337890" name="Inst10"/>
        <xdr:cNvSpPr>
          <a:spLocks noChangeArrowheads="1"/>
        </xdr:cNvSpPr>
      </xdr:nvSpPr>
      <xdr:spPr bwMode="auto">
        <a:xfrm>
          <a:off x="3362325" y="218694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174</xdr:row>
      <xdr:rowOff>85725</xdr:rowOff>
    </xdr:from>
    <xdr:to>
      <xdr:col>48</xdr:col>
      <xdr:colOff>114300</xdr:colOff>
      <xdr:row>175</xdr:row>
      <xdr:rowOff>95250</xdr:rowOff>
    </xdr:to>
    <xdr:sp macro="[0]!LmpFoto" textlink="">
      <xdr:nvSpPr>
        <xdr:cNvPr id="337891" name="Dele10"/>
        <xdr:cNvSpPr>
          <a:spLocks noChangeArrowheads="1"/>
        </xdr:cNvSpPr>
      </xdr:nvSpPr>
      <xdr:spPr bwMode="auto">
        <a:xfrm>
          <a:off x="6334125" y="237839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6</xdr:col>
      <xdr:colOff>47625</xdr:colOff>
      <xdr:row>176</xdr:row>
      <xdr:rowOff>38100</xdr:rowOff>
    </xdr:from>
    <xdr:to>
      <xdr:col>7</xdr:col>
      <xdr:colOff>123825</xdr:colOff>
      <xdr:row>178</xdr:row>
      <xdr:rowOff>104775</xdr:rowOff>
    </xdr:to>
    <xdr:sp macro="[0]!InsFot" textlink="">
      <xdr:nvSpPr>
        <xdr:cNvPr id="337892" name="Inst11"/>
        <xdr:cNvSpPr>
          <a:spLocks noChangeArrowheads="1"/>
        </xdr:cNvSpPr>
      </xdr:nvSpPr>
      <xdr:spPr bwMode="auto">
        <a:xfrm>
          <a:off x="104775" y="240030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25</xdr:col>
      <xdr:colOff>123825</xdr:colOff>
      <xdr:row>190</xdr:row>
      <xdr:rowOff>85725</xdr:rowOff>
    </xdr:from>
    <xdr:to>
      <xdr:col>26</xdr:col>
      <xdr:colOff>114300</xdr:colOff>
      <xdr:row>191</xdr:row>
      <xdr:rowOff>95250</xdr:rowOff>
    </xdr:to>
    <xdr:sp macro="[0]!LmpFoto" textlink="">
      <xdr:nvSpPr>
        <xdr:cNvPr id="337893" name="Dele11"/>
        <xdr:cNvSpPr>
          <a:spLocks noChangeArrowheads="1"/>
        </xdr:cNvSpPr>
      </xdr:nvSpPr>
      <xdr:spPr bwMode="auto">
        <a:xfrm>
          <a:off x="3076575" y="259175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28</xdr:col>
      <xdr:colOff>47625</xdr:colOff>
      <xdr:row>176</xdr:row>
      <xdr:rowOff>38100</xdr:rowOff>
    </xdr:from>
    <xdr:to>
      <xdr:col>29</xdr:col>
      <xdr:colOff>123825</xdr:colOff>
      <xdr:row>178</xdr:row>
      <xdr:rowOff>104775</xdr:rowOff>
    </xdr:to>
    <xdr:sp macro="[0]!InsFot" textlink="">
      <xdr:nvSpPr>
        <xdr:cNvPr id="337894" name="Inst12"/>
        <xdr:cNvSpPr>
          <a:spLocks noChangeArrowheads="1"/>
        </xdr:cNvSpPr>
      </xdr:nvSpPr>
      <xdr:spPr bwMode="auto">
        <a:xfrm>
          <a:off x="3362325" y="24003000"/>
          <a:ext cx="228600" cy="333375"/>
        </a:xfrm>
        <a:prstGeom prst="downArrow">
          <a:avLst>
            <a:gd name="adj1" fmla="val 33333"/>
            <a:gd name="adj2" fmla="val 62499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19050" algn="ctr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  <xdr:twoCellAnchor>
    <xdr:from>
      <xdr:col>47</xdr:col>
      <xdr:colOff>123825</xdr:colOff>
      <xdr:row>190</xdr:row>
      <xdr:rowOff>85725</xdr:rowOff>
    </xdr:from>
    <xdr:to>
      <xdr:col>48</xdr:col>
      <xdr:colOff>114300</xdr:colOff>
      <xdr:row>191</xdr:row>
      <xdr:rowOff>95250</xdr:rowOff>
    </xdr:to>
    <xdr:sp macro="[0]!LmpFoto" textlink="">
      <xdr:nvSpPr>
        <xdr:cNvPr id="337895" name="Dele12"/>
        <xdr:cNvSpPr>
          <a:spLocks noChangeArrowheads="1"/>
        </xdr:cNvSpPr>
      </xdr:nvSpPr>
      <xdr:spPr bwMode="auto">
        <a:xfrm>
          <a:off x="6334125" y="25917525"/>
          <a:ext cx="142875" cy="142875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A0000"/>
        </a:solidFill>
        <a:ln w="190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1A0000"/>
        </a:solidFill>
        <a:ln w="19050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7">
    <tabColor indexed="31"/>
    <pageSetUpPr fitToPage="1"/>
  </sheetPr>
  <dimension ref="A1:BV227"/>
  <sheetViews>
    <sheetView showGridLines="0" tabSelected="1" topLeftCell="F31" zoomScaleNormal="100" zoomScaleSheetLayoutView="100" workbookViewId="0">
      <selection activeCell="AF35" sqref="AF35:AG35"/>
    </sheetView>
  </sheetViews>
  <sheetFormatPr defaultColWidth="3.7109375" defaultRowHeight="12.75" x14ac:dyDescent="0.2"/>
  <cols>
    <col min="1" max="2" width="6.7109375" style="29" hidden="1" customWidth="1"/>
    <col min="3" max="4" width="6.7109375" style="36" hidden="1" customWidth="1"/>
    <col min="5" max="5" width="6.7109375" style="5" hidden="1" customWidth="1"/>
    <col min="6" max="6" width="0.85546875" style="43" customWidth="1"/>
    <col min="7" max="27" width="2.28515625" style="43" customWidth="1"/>
    <col min="28" max="28" width="0.85546875" style="43" customWidth="1"/>
    <col min="29" max="49" width="2.28515625" style="43" customWidth="1"/>
    <col min="50" max="50" width="0.85546875" style="43" customWidth="1"/>
    <col min="51" max="51" width="4.7109375" style="43" customWidth="1"/>
    <col min="52" max="52" width="4.7109375" style="34" customWidth="1"/>
    <col min="53" max="53" width="4.7109375" style="44" customWidth="1"/>
    <col min="54" max="54" width="8.7109375" style="44" customWidth="1"/>
    <col min="55" max="55" width="14.140625" style="44" bestFit="1" customWidth="1"/>
    <col min="56" max="56" width="8.7109375" style="44" customWidth="1"/>
    <col min="57" max="57" width="11.7109375" style="44" customWidth="1"/>
    <col min="58" max="58" width="2.7109375" style="44" customWidth="1"/>
    <col min="59" max="59" width="20.7109375" style="44" customWidth="1"/>
    <col min="60" max="60" width="10.7109375" style="44" customWidth="1"/>
    <col min="61" max="96" width="3.7109375" style="43" customWidth="1"/>
    <col min="97" max="98" width="3" style="43" customWidth="1"/>
    <col min="99" max="16384" width="3.7109375" style="43"/>
  </cols>
  <sheetData>
    <row r="1" spans="1:74" ht="5.0999999999999996" hidden="1" customHeight="1" x14ac:dyDescent="0.2">
      <c r="D1" s="42"/>
      <c r="F1" s="35" t="s">
        <v>42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X1" s="35" t="s">
        <v>90</v>
      </c>
    </row>
    <row r="2" spans="1:74" s="41" customFormat="1" ht="14.25" x14ac:dyDescent="0.2">
      <c r="A2" s="37" t="s">
        <v>7</v>
      </c>
      <c r="B2" s="45" t="s">
        <v>8</v>
      </c>
      <c r="C2" s="37" t="s">
        <v>9</v>
      </c>
      <c r="D2" s="37" t="s">
        <v>10</v>
      </c>
      <c r="E2" s="37" t="s">
        <v>11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7"/>
      <c r="AI2" s="78"/>
    </row>
    <row r="3" spans="1:74" s="34" customFormat="1" ht="18" x14ac:dyDescent="0.2">
      <c r="A3" s="33"/>
      <c r="B3" s="33"/>
      <c r="C3" s="37"/>
      <c r="D3" s="32"/>
      <c r="E3" s="31"/>
      <c r="F3" s="2"/>
      <c r="G3" s="2"/>
      <c r="H3" s="2"/>
      <c r="I3" s="79"/>
      <c r="J3" s="79"/>
      <c r="K3" s="79"/>
      <c r="L3" s="79"/>
      <c r="M3" s="79"/>
      <c r="N3" s="79"/>
      <c r="O3" s="79"/>
      <c r="P3" s="79"/>
      <c r="Q3" s="79"/>
      <c r="R3" s="2"/>
      <c r="S3" s="2"/>
      <c r="T3" s="191" t="s">
        <v>117</v>
      </c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2"/>
      <c r="AW3" s="2"/>
      <c r="AX3" s="2"/>
    </row>
    <row r="4" spans="1:74" s="34" customFormat="1" ht="15" x14ac:dyDescent="0.2">
      <c r="A4" s="33">
        <v>1</v>
      </c>
      <c r="B4" s="33"/>
      <c r="C4" s="37"/>
      <c r="D4" s="32"/>
      <c r="E4" s="31"/>
      <c r="F4" s="4"/>
      <c r="G4" s="4"/>
      <c r="H4" s="4"/>
      <c r="I4" s="80"/>
      <c r="J4" s="80"/>
      <c r="K4" s="80"/>
      <c r="L4" s="80"/>
      <c r="M4" s="80"/>
      <c r="N4" s="80"/>
      <c r="O4" s="80"/>
      <c r="P4" s="80"/>
      <c r="Q4" s="80"/>
      <c r="R4" s="4"/>
      <c r="S4" s="4"/>
      <c r="T4" s="192" t="s">
        <v>2</v>
      </c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192"/>
      <c r="AQ4" s="192"/>
      <c r="AR4" s="192"/>
      <c r="AS4" s="192"/>
      <c r="AT4" s="192"/>
      <c r="AU4" s="192"/>
      <c r="AV4" s="4"/>
      <c r="AW4" s="4"/>
      <c r="AX4" s="4"/>
    </row>
    <row r="5" spans="1:74" s="34" customFormat="1" ht="13.5" x14ac:dyDescent="0.2">
      <c r="A5" s="33"/>
      <c r="B5" s="33"/>
      <c r="C5" s="37"/>
      <c r="D5" s="32"/>
      <c r="E5" s="31"/>
      <c r="F5" s="46"/>
      <c r="G5" s="46"/>
      <c r="H5" s="46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193" t="s">
        <v>147</v>
      </c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3"/>
      <c r="AU5" s="193"/>
    </row>
    <row r="6" spans="1:74" s="34" customFormat="1" x14ac:dyDescent="0.2">
      <c r="A6" s="33"/>
      <c r="B6" s="33"/>
      <c r="C6" s="37"/>
      <c r="D6" s="32"/>
      <c r="E6" s="31"/>
      <c r="F6" s="44"/>
      <c r="G6" s="48" t="s">
        <v>136</v>
      </c>
      <c r="H6" s="44"/>
      <c r="I6" s="44"/>
      <c r="J6" s="49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</row>
    <row r="7" spans="1:74" s="34" customFormat="1" ht="3.95" customHeight="1" x14ac:dyDescent="0.2">
      <c r="A7" s="33"/>
      <c r="B7" s="33"/>
      <c r="C7" s="37"/>
      <c r="D7" s="32"/>
      <c r="E7" s="40"/>
      <c r="F7" s="51"/>
      <c r="G7" s="52"/>
      <c r="H7" s="52"/>
      <c r="I7" s="53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</row>
    <row r="8" spans="1:74" s="34" customFormat="1" x14ac:dyDescent="0.2">
      <c r="A8" s="33"/>
      <c r="B8" s="33"/>
      <c r="C8" s="37"/>
      <c r="D8" s="32"/>
      <c r="E8" s="40"/>
      <c r="F8" s="44"/>
      <c r="G8" s="46" t="s">
        <v>89</v>
      </c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</row>
    <row r="9" spans="1:74" s="34" customFormat="1" ht="3.95" customHeight="1" x14ac:dyDescent="0.2">
      <c r="A9" s="33"/>
      <c r="B9" s="33"/>
      <c r="C9" s="37"/>
      <c r="D9" s="32"/>
      <c r="E9" s="40"/>
      <c r="F9" s="51"/>
      <c r="G9" s="52"/>
      <c r="H9" s="52"/>
      <c r="I9" s="53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</row>
    <row r="10" spans="1:74" s="34" customFormat="1" ht="12.75" customHeight="1" x14ac:dyDescent="0.2">
      <c r="A10" s="33"/>
      <c r="B10" s="33"/>
      <c r="C10" s="37"/>
      <c r="D10" s="32"/>
      <c r="E10" s="40"/>
      <c r="F10" s="51"/>
      <c r="G10" s="174"/>
      <c r="H10" s="175"/>
      <c r="I10" s="176"/>
      <c r="J10" s="51"/>
      <c r="K10" s="177"/>
      <c r="L10" s="178"/>
      <c r="M10" s="179"/>
      <c r="N10" s="44"/>
      <c r="O10" s="180" t="s">
        <v>121</v>
      </c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</row>
    <row r="11" spans="1:74" s="34" customFormat="1" x14ac:dyDescent="0.2">
      <c r="A11" s="33"/>
      <c r="B11" s="33"/>
      <c r="C11" s="37"/>
      <c r="D11" s="32"/>
      <c r="E11" s="31"/>
      <c r="F11" s="44"/>
      <c r="G11" s="54"/>
      <c r="H11" s="44"/>
      <c r="I11" s="44"/>
      <c r="J11" s="49"/>
      <c r="K11" s="44"/>
      <c r="L11" s="44"/>
      <c r="M11" s="44"/>
      <c r="N11" s="44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BB11" s="72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</row>
    <row r="12" spans="1:74" s="34" customFormat="1" ht="3.95" customHeight="1" x14ac:dyDescent="0.2">
      <c r="A12" s="33"/>
      <c r="B12" s="33"/>
      <c r="C12" s="37"/>
      <c r="D12" s="32"/>
      <c r="E12" s="40"/>
      <c r="F12" s="51"/>
      <c r="G12" s="51"/>
      <c r="H12" s="51"/>
      <c r="I12" s="51"/>
      <c r="J12" s="51"/>
      <c r="K12" s="51"/>
      <c r="L12" s="44"/>
      <c r="M12" s="44"/>
      <c r="N12" s="51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51"/>
    </row>
    <row r="13" spans="1:74" s="34" customFormat="1" ht="12.75" customHeight="1" x14ac:dyDescent="0.2">
      <c r="A13" s="33"/>
      <c r="B13" s="33"/>
      <c r="C13" s="37"/>
      <c r="D13" s="32"/>
      <c r="E13" s="40"/>
      <c r="F13" s="51"/>
      <c r="G13" s="185" t="s">
        <v>155</v>
      </c>
      <c r="H13" s="186"/>
      <c r="I13" s="187"/>
      <c r="J13" s="73" t="s">
        <v>156</v>
      </c>
      <c r="K13" s="185" t="s">
        <v>155</v>
      </c>
      <c r="L13" s="186"/>
      <c r="M13" s="187"/>
      <c r="N13" s="44"/>
      <c r="O13" s="188" t="s">
        <v>157</v>
      </c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</row>
    <row r="14" spans="1:74" s="34" customFormat="1" ht="12.75" customHeight="1" x14ac:dyDescent="0.2">
      <c r="A14" s="33"/>
      <c r="B14" s="33"/>
      <c r="C14" s="37"/>
      <c r="D14" s="32"/>
      <c r="E14" s="40"/>
      <c r="F14" s="51"/>
      <c r="G14" s="75"/>
      <c r="H14" s="75"/>
      <c r="I14" s="75"/>
      <c r="K14" s="75"/>
      <c r="L14" s="75"/>
      <c r="M14" s="75"/>
      <c r="N14" s="44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188"/>
      <c r="AV14" s="188"/>
      <c r="AW14" s="188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</row>
    <row r="15" spans="1:74" s="34" customFormat="1" ht="12.75" customHeight="1" x14ac:dyDescent="0.2">
      <c r="A15" s="33"/>
      <c r="B15" s="33"/>
      <c r="C15" s="37"/>
      <c r="D15" s="32"/>
      <c r="E15" s="40"/>
      <c r="F15" s="51"/>
      <c r="N15" s="44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</row>
    <row r="16" spans="1:74" s="34" customFormat="1" x14ac:dyDescent="0.2">
      <c r="A16" s="33"/>
      <c r="B16" s="33"/>
      <c r="C16" s="37"/>
      <c r="D16" s="32"/>
      <c r="E16" s="40"/>
      <c r="F16" s="51"/>
      <c r="G16" s="51"/>
      <c r="H16" s="51"/>
      <c r="I16" s="51"/>
      <c r="J16" s="51"/>
      <c r="K16" s="51"/>
      <c r="L16" s="44"/>
      <c r="M16" s="44"/>
      <c r="N16" s="51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88"/>
      <c r="AG16" s="188"/>
      <c r="AH16" s="188"/>
      <c r="AI16" s="188"/>
      <c r="AJ16" s="188"/>
      <c r="AK16" s="188"/>
      <c r="AL16" s="188"/>
      <c r="AM16" s="188"/>
      <c r="AN16" s="188"/>
      <c r="AO16" s="188"/>
      <c r="AP16" s="188"/>
      <c r="AQ16" s="188"/>
      <c r="AR16" s="188"/>
      <c r="AS16" s="188"/>
      <c r="AT16" s="188"/>
      <c r="AU16" s="188"/>
      <c r="AV16" s="188"/>
      <c r="AW16" s="188"/>
      <c r="AX16" s="74"/>
      <c r="AY16" s="74"/>
      <c r="AZ16" s="74"/>
      <c r="BA16" s="74"/>
      <c r="BB16" s="74"/>
      <c r="BC16" s="74"/>
      <c r="BD16" s="74"/>
      <c r="BE16" s="74"/>
      <c r="BF16" s="74"/>
      <c r="BG16" s="74"/>
    </row>
    <row r="17" spans="1:60" s="34" customFormat="1" ht="3.95" customHeight="1" x14ac:dyDescent="0.2">
      <c r="A17" s="33"/>
      <c r="B17" s="33"/>
      <c r="C17" s="37"/>
      <c r="D17" s="32"/>
      <c r="E17" s="40"/>
      <c r="F17" s="51"/>
      <c r="G17" s="51"/>
      <c r="H17" s="51"/>
      <c r="I17" s="51"/>
      <c r="J17" s="51"/>
      <c r="K17" s="51"/>
      <c r="L17" s="44"/>
      <c r="M17" s="44"/>
      <c r="N17" s="51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51"/>
    </row>
    <row r="18" spans="1:60" s="34" customFormat="1" ht="27.95" customHeight="1" x14ac:dyDescent="0.2">
      <c r="A18" s="33"/>
      <c r="B18" s="33"/>
      <c r="C18" s="37"/>
      <c r="D18" s="32"/>
      <c r="E18" s="40"/>
      <c r="F18" s="44"/>
      <c r="G18" s="182" t="s">
        <v>118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4"/>
    </row>
    <row r="19" spans="1:60" s="34" customFormat="1" ht="3.95" customHeight="1" x14ac:dyDescent="0.2">
      <c r="A19" s="33"/>
      <c r="B19" s="33"/>
      <c r="C19" s="37"/>
      <c r="D19" s="32"/>
      <c r="E19" s="4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</row>
    <row r="20" spans="1:60" s="34" customFormat="1" ht="12.75" customHeight="1" x14ac:dyDescent="0.2">
      <c r="A20" s="33"/>
      <c r="B20" s="33"/>
      <c r="C20" s="37"/>
      <c r="D20" s="32"/>
      <c r="E20" s="40"/>
      <c r="F20" s="51"/>
      <c r="G20" s="181" t="s">
        <v>119</v>
      </c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</row>
    <row r="21" spans="1:60" s="34" customFormat="1" ht="3.95" customHeight="1" x14ac:dyDescent="0.2">
      <c r="A21" s="33"/>
      <c r="B21" s="33"/>
      <c r="C21" s="37"/>
      <c r="D21" s="32"/>
      <c r="E21" s="40"/>
      <c r="F21" s="51"/>
      <c r="G21" s="55"/>
      <c r="H21" s="55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1:60" ht="12" customHeight="1" x14ac:dyDescent="0.2">
      <c r="A22" s="56"/>
      <c r="B22" s="44"/>
      <c r="C22" s="44"/>
      <c r="D22" s="44"/>
      <c r="E22" s="51"/>
      <c r="F22" s="44"/>
      <c r="G22" s="162">
        <v>1</v>
      </c>
      <c r="H22" s="163"/>
      <c r="I22" s="164"/>
      <c r="J22" s="44"/>
      <c r="K22" s="218" t="s">
        <v>6</v>
      </c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20"/>
      <c r="AX22" s="44"/>
      <c r="AY22" s="44"/>
      <c r="AZ22" s="44"/>
    </row>
    <row r="23" spans="1:60" ht="3.95" customHeight="1" x14ac:dyDescent="0.2">
      <c r="A23" s="56"/>
      <c r="B23" s="44"/>
      <c r="C23" s="44"/>
      <c r="D23" s="44"/>
      <c r="E23" s="51"/>
      <c r="F23" s="44"/>
      <c r="G23" s="52"/>
      <c r="H23" s="52"/>
      <c r="I23" s="53"/>
      <c r="J23" s="44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</row>
    <row r="24" spans="1:60" ht="38.1" customHeight="1" x14ac:dyDescent="0.2">
      <c r="A24" s="56"/>
      <c r="B24" s="44"/>
      <c r="C24" s="44"/>
      <c r="D24" s="44"/>
      <c r="E24" s="57"/>
      <c r="F24" s="44"/>
      <c r="G24" s="289" t="s">
        <v>3</v>
      </c>
      <c r="H24" s="290"/>
      <c r="I24" s="291"/>
      <c r="J24" s="44"/>
      <c r="K24" s="280" t="s">
        <v>141</v>
      </c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281"/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2"/>
      <c r="AX24" s="44"/>
      <c r="AY24" s="44"/>
      <c r="AZ24" s="44"/>
    </row>
    <row r="25" spans="1:60" ht="38.1" customHeight="1" x14ac:dyDescent="0.2">
      <c r="A25" s="56"/>
      <c r="B25" s="44"/>
      <c r="C25" s="44"/>
      <c r="D25" s="44"/>
      <c r="E25" s="57"/>
      <c r="F25" s="44"/>
      <c r="G25" s="289" t="s">
        <v>4</v>
      </c>
      <c r="H25" s="290"/>
      <c r="I25" s="291"/>
      <c r="J25" s="44"/>
      <c r="K25" s="280" t="s">
        <v>142</v>
      </c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2"/>
      <c r="AX25" s="44"/>
      <c r="AY25" s="44"/>
      <c r="AZ25" s="44"/>
    </row>
    <row r="26" spans="1:60" ht="27.95" customHeight="1" x14ac:dyDescent="0.2">
      <c r="A26" s="56"/>
      <c r="B26" s="44"/>
      <c r="C26" s="44"/>
      <c r="D26" s="44"/>
      <c r="E26" s="57"/>
      <c r="F26" s="44"/>
      <c r="G26" s="289" t="s">
        <v>5</v>
      </c>
      <c r="H26" s="290"/>
      <c r="I26" s="291"/>
      <c r="J26" s="44"/>
      <c r="K26" s="280" t="s">
        <v>143</v>
      </c>
      <c r="L26" s="281"/>
      <c r="M26" s="281"/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2"/>
      <c r="AX26" s="44"/>
      <c r="AY26" s="44"/>
      <c r="AZ26" s="44"/>
    </row>
    <row r="27" spans="1:60" ht="12" customHeight="1" x14ac:dyDescent="0.2">
      <c r="A27" s="56"/>
      <c r="B27" s="44"/>
      <c r="C27" s="44"/>
      <c r="D27" s="44"/>
      <c r="E27" s="57"/>
      <c r="F27" s="44"/>
      <c r="G27" s="289" t="s">
        <v>137</v>
      </c>
      <c r="H27" s="290"/>
      <c r="I27" s="291"/>
      <c r="J27" s="44"/>
      <c r="K27" s="280" t="s">
        <v>144</v>
      </c>
      <c r="L27" s="281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2"/>
      <c r="AX27" s="44"/>
      <c r="AY27" s="44"/>
      <c r="AZ27" s="44"/>
    </row>
    <row r="28" spans="1:60" ht="12" customHeight="1" x14ac:dyDescent="0.2">
      <c r="A28" s="56"/>
      <c r="B28" s="44"/>
      <c r="C28" s="44"/>
      <c r="D28" s="44"/>
      <c r="E28" s="57"/>
      <c r="F28" s="44"/>
      <c r="G28" s="289" t="s">
        <v>138</v>
      </c>
      <c r="H28" s="290"/>
      <c r="I28" s="291"/>
      <c r="J28" s="44"/>
      <c r="K28" s="280" t="s">
        <v>145</v>
      </c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281"/>
      <c r="AK28" s="281"/>
      <c r="AL28" s="281"/>
      <c r="AM28" s="281"/>
      <c r="AN28" s="281"/>
      <c r="AO28" s="281"/>
      <c r="AP28" s="281"/>
      <c r="AQ28" s="281"/>
      <c r="AR28" s="281"/>
      <c r="AS28" s="281"/>
      <c r="AT28" s="281"/>
      <c r="AU28" s="281"/>
      <c r="AV28" s="281"/>
      <c r="AW28" s="282"/>
      <c r="AX28" s="44"/>
      <c r="AY28" s="44"/>
      <c r="AZ28" s="44"/>
    </row>
    <row r="29" spans="1:60" s="34" customFormat="1" ht="12.75" customHeight="1" x14ac:dyDescent="0.2">
      <c r="A29" s="33"/>
      <c r="B29" s="33"/>
      <c r="C29" s="37"/>
      <c r="D29" s="32"/>
      <c r="E29" s="40"/>
      <c r="F29" s="51"/>
      <c r="G29" s="289" t="s">
        <v>139</v>
      </c>
      <c r="H29" s="290"/>
      <c r="I29" s="291"/>
      <c r="J29" s="57"/>
      <c r="K29" s="280" t="s">
        <v>146</v>
      </c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2"/>
    </row>
    <row r="30" spans="1:60" ht="24.95" customHeight="1" x14ac:dyDescent="0.2">
      <c r="A30" s="56"/>
      <c r="B30" s="44"/>
      <c r="C30" s="44"/>
      <c r="D30" s="44"/>
      <c r="E30" s="57"/>
      <c r="F30" s="44"/>
      <c r="G30" s="289" t="s">
        <v>140</v>
      </c>
      <c r="H30" s="290"/>
      <c r="I30" s="291"/>
      <c r="J30" s="44"/>
      <c r="K30" s="280" t="s">
        <v>120</v>
      </c>
      <c r="L30" s="281"/>
      <c r="M30" s="281"/>
      <c r="N30" s="281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  <c r="AI30" s="281"/>
      <c r="AJ30" s="281"/>
      <c r="AK30" s="281"/>
      <c r="AL30" s="281"/>
      <c r="AM30" s="281"/>
      <c r="AN30" s="281"/>
      <c r="AO30" s="281"/>
      <c r="AP30" s="281"/>
      <c r="AQ30" s="281"/>
      <c r="AR30" s="281"/>
      <c r="AS30" s="281"/>
      <c r="AT30" s="281"/>
      <c r="AU30" s="281"/>
      <c r="AV30" s="281"/>
      <c r="AW30" s="282"/>
      <c r="AX30" s="44"/>
      <c r="AY30" s="44"/>
      <c r="AZ30" s="44"/>
    </row>
    <row r="31" spans="1:60" ht="12" customHeight="1" x14ac:dyDescent="0.2">
      <c r="A31" s="56"/>
      <c r="B31" s="44"/>
      <c r="C31" s="44"/>
      <c r="D31" s="44"/>
      <c r="E31" s="57"/>
      <c r="F31" s="44"/>
      <c r="G31" s="289" t="s">
        <v>14</v>
      </c>
      <c r="H31" s="290"/>
      <c r="I31" s="291"/>
      <c r="J31" s="44"/>
      <c r="K31" s="280" t="s">
        <v>91</v>
      </c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281"/>
      <c r="AK31" s="281"/>
      <c r="AL31" s="281"/>
      <c r="AM31" s="281"/>
      <c r="AN31" s="281"/>
      <c r="AO31" s="281"/>
      <c r="AP31" s="281"/>
      <c r="AQ31" s="281"/>
      <c r="AR31" s="281"/>
      <c r="AS31" s="281"/>
      <c r="AT31" s="281"/>
      <c r="AU31" s="281"/>
      <c r="AV31" s="281"/>
      <c r="AW31" s="282"/>
      <c r="AX31" s="44"/>
      <c r="AY31" s="44"/>
      <c r="AZ31" s="44"/>
    </row>
    <row r="32" spans="1:60" ht="12.95" customHeight="1" x14ac:dyDescent="0.2">
      <c r="D32" s="42"/>
      <c r="F32" s="35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X32" s="35"/>
    </row>
    <row r="33" spans="1:60" ht="4.5" customHeight="1" x14ac:dyDescent="0.2">
      <c r="A33" s="29" t="e">
        <f>MATCH("mtde",E:E,0)</f>
        <v>#N/A</v>
      </c>
      <c r="B33" s="29">
        <f>MATCH("endfim2",E:E,0)</f>
        <v>58</v>
      </c>
      <c r="C33" s="36" t="s">
        <v>88</v>
      </c>
      <c r="D33" s="36" t="s">
        <v>87</v>
      </c>
      <c r="E33" s="6"/>
      <c r="G33" s="7"/>
      <c r="H33" s="8"/>
      <c r="I33" s="5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9"/>
      <c r="AJ33" s="10"/>
    </row>
    <row r="34" spans="1:60" ht="9.9499999999999993" customHeight="1" x14ac:dyDescent="0.2">
      <c r="A34" s="42" t="s">
        <v>7</v>
      </c>
      <c r="B34" s="59" t="s">
        <v>8</v>
      </c>
      <c r="C34" s="42" t="s">
        <v>9</v>
      </c>
      <c r="D34" s="42" t="s">
        <v>10</v>
      </c>
      <c r="E34" s="60" t="s">
        <v>11</v>
      </c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278" t="s">
        <v>115</v>
      </c>
      <c r="V34" s="279"/>
      <c r="W34" s="267" t="s">
        <v>116</v>
      </c>
      <c r="X34" s="268"/>
      <c r="Y34" s="268"/>
      <c r="Z34" s="268"/>
      <c r="AA34" s="268"/>
      <c r="AB34" s="269"/>
      <c r="AC34" s="11"/>
      <c r="AD34" s="278" t="s">
        <v>93</v>
      </c>
      <c r="AE34" s="279"/>
      <c r="AF34" s="267" t="s">
        <v>94</v>
      </c>
      <c r="AG34" s="268"/>
      <c r="AH34" s="268"/>
      <c r="AI34" s="268"/>
      <c r="AJ34" s="268"/>
      <c r="AK34" s="268"/>
      <c r="AL34" s="268"/>
      <c r="AM34" s="268"/>
      <c r="AN34" s="268"/>
      <c r="AO34" s="268"/>
      <c r="AP34" s="269"/>
      <c r="AQ34" s="34"/>
      <c r="AR34" s="286" t="s">
        <v>12</v>
      </c>
      <c r="AS34" s="287"/>
      <c r="AT34" s="287"/>
      <c r="AU34" s="287"/>
      <c r="AV34" s="287"/>
      <c r="AW34" s="288"/>
      <c r="AX34" s="61"/>
      <c r="AZ34" s="43"/>
    </row>
    <row r="35" spans="1:60" ht="9.9499999999999993" customHeight="1" x14ac:dyDescent="0.2">
      <c r="B35" s="29">
        <f>MATCH(MAX(C37:C203),C37:C203,0)+5</f>
        <v>22</v>
      </c>
      <c r="C35" s="36" t="e">
        <f>MATCH("D",D37:D203,0)+5</f>
        <v>#N/A</v>
      </c>
      <c r="D35" s="42">
        <f>MAX(C37:C58)</f>
        <v>5</v>
      </c>
      <c r="E35" s="12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273" t="s">
        <v>194</v>
      </c>
      <c r="V35" s="274"/>
      <c r="W35" s="274"/>
      <c r="X35" s="274"/>
      <c r="Y35" s="274"/>
      <c r="Z35" s="274"/>
      <c r="AA35" s="274"/>
      <c r="AB35" s="275"/>
      <c r="AC35" s="13"/>
      <c r="AD35" s="276">
        <v>6992</v>
      </c>
      <c r="AE35" s="277"/>
      <c r="AF35" s="295"/>
      <c r="AG35" s="277"/>
      <c r="AH35" s="270"/>
      <c r="AI35" s="271"/>
      <c r="AJ35" s="271"/>
      <c r="AK35" s="272"/>
      <c r="AL35" s="295">
        <v>2021</v>
      </c>
      <c r="AM35" s="277"/>
      <c r="AN35" s="38">
        <v>1</v>
      </c>
      <c r="AO35" s="38">
        <v>1</v>
      </c>
      <c r="AP35" s="39">
        <v>1</v>
      </c>
      <c r="AQ35" s="62"/>
      <c r="AR35" s="283" t="s">
        <v>95</v>
      </c>
      <c r="AS35" s="284"/>
      <c r="AT35" s="284"/>
      <c r="AU35" s="284"/>
      <c r="AV35" s="284"/>
      <c r="AW35" s="285"/>
      <c r="AX35" s="63"/>
      <c r="AZ35" s="43"/>
    </row>
    <row r="36" spans="1:60" ht="3.95" customHeight="1" x14ac:dyDescent="0.2">
      <c r="D36" s="42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30"/>
      <c r="T36" s="30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1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34"/>
    </row>
    <row r="37" spans="1:60" ht="12.95" customHeight="1" x14ac:dyDescent="0.2">
      <c r="D37" s="4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65" t="s">
        <v>113</v>
      </c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  <c r="AU37" s="265"/>
      <c r="AV37" s="265"/>
      <c r="AW37" s="64"/>
      <c r="AX37" s="64"/>
    </row>
    <row r="38" spans="1:60" ht="12.95" customHeight="1" x14ac:dyDescent="0.2">
      <c r="A38" s="29">
        <f>B33</f>
        <v>58</v>
      </c>
      <c r="B38" s="29" t="str">
        <f>C33</f>
        <v>G</v>
      </c>
      <c r="C38" s="36" t="str">
        <f>D33</f>
        <v>AW</v>
      </c>
      <c r="D38" s="42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4"/>
      <c r="T38" s="4"/>
      <c r="U38" s="233" t="s">
        <v>1</v>
      </c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65"/>
      <c r="AX38" s="65"/>
    </row>
    <row r="39" spans="1:60" ht="3.95" customHeight="1" x14ac:dyDescent="0.2">
      <c r="D39" s="42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8"/>
    </row>
    <row r="40" spans="1:60" ht="12" customHeight="1" thickBot="1" x14ac:dyDescent="0.25">
      <c r="A40" s="66"/>
      <c r="B40" s="66"/>
      <c r="C40" s="66"/>
      <c r="D40" s="22"/>
      <c r="E40" s="19"/>
      <c r="F40" s="82"/>
      <c r="G40" s="83" t="s">
        <v>158</v>
      </c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4"/>
    </row>
    <row r="41" spans="1:60" ht="3.95" customHeight="1" x14ac:dyDescent="0.2">
      <c r="C41" s="29"/>
      <c r="D41" s="59"/>
      <c r="E41" s="5" t="s">
        <v>13</v>
      </c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18"/>
      <c r="AL41" s="55"/>
      <c r="AM41" s="55"/>
      <c r="AN41" s="55"/>
      <c r="AO41" s="55"/>
      <c r="AP41" s="55"/>
      <c r="AQ41" s="55"/>
      <c r="BA41" s="34"/>
      <c r="BB41" s="34"/>
      <c r="BC41" s="34"/>
      <c r="BD41" s="34"/>
      <c r="BE41" s="34"/>
      <c r="BF41" s="34"/>
      <c r="BG41" s="34"/>
      <c r="BH41" s="34"/>
    </row>
    <row r="42" spans="1:60" ht="11.1" customHeight="1" x14ac:dyDescent="0.2">
      <c r="C42" s="29"/>
      <c r="D42" s="29"/>
      <c r="G42" s="203" t="s">
        <v>14</v>
      </c>
      <c r="H42" s="204"/>
      <c r="I42" s="205" t="s">
        <v>15</v>
      </c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7"/>
      <c r="AJ42" s="203" t="s">
        <v>16</v>
      </c>
      <c r="AK42" s="204"/>
      <c r="AL42" s="208" t="s">
        <v>17</v>
      </c>
      <c r="AM42" s="209"/>
      <c r="AN42" s="209"/>
      <c r="AO42" s="210"/>
      <c r="AP42" s="203" t="s">
        <v>18</v>
      </c>
      <c r="AQ42" s="204"/>
      <c r="AR42" s="208" t="s">
        <v>19</v>
      </c>
      <c r="AS42" s="209"/>
      <c r="AT42" s="209"/>
      <c r="AU42" s="209"/>
      <c r="AV42" s="209"/>
      <c r="AW42" s="210"/>
      <c r="AX42" s="58"/>
      <c r="AY42" s="58"/>
      <c r="BA42" s="34"/>
      <c r="BB42" s="34"/>
      <c r="BC42" s="34"/>
      <c r="BD42" s="34"/>
      <c r="BE42" s="34"/>
      <c r="BF42" s="34"/>
      <c r="BG42" s="34"/>
      <c r="BH42" s="34"/>
    </row>
    <row r="43" spans="1:60" ht="11.1" customHeight="1" x14ac:dyDescent="0.2">
      <c r="C43" s="29">
        <v>1</v>
      </c>
      <c r="D43" s="29">
        <v>4</v>
      </c>
      <c r="G43" s="195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7"/>
      <c r="AJ43" s="198"/>
      <c r="AK43" s="199"/>
      <c r="AL43" s="199"/>
      <c r="AM43" s="199"/>
      <c r="AN43" s="199"/>
      <c r="AO43" s="200"/>
      <c r="AP43" s="201"/>
      <c r="AQ43" s="202"/>
      <c r="AR43" s="189"/>
      <c r="AS43" s="189"/>
      <c r="AT43" s="189"/>
      <c r="AU43" s="189"/>
      <c r="AV43" s="189"/>
      <c r="AW43" s="190"/>
      <c r="AX43" s="58"/>
      <c r="AY43" s="58"/>
      <c r="BA43" s="34"/>
      <c r="BB43" s="34"/>
      <c r="BC43" s="34"/>
      <c r="BD43" s="34"/>
      <c r="BE43" s="34"/>
      <c r="BF43" s="34"/>
      <c r="BG43" s="34"/>
      <c r="BH43" s="34"/>
    </row>
    <row r="44" spans="1:60" ht="11.1" customHeight="1" x14ac:dyDescent="0.2">
      <c r="C44" s="29"/>
      <c r="D44" s="29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4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34"/>
      <c r="AY44" s="34"/>
      <c r="BA44" s="34"/>
      <c r="BB44" s="34"/>
      <c r="BC44" s="34"/>
      <c r="BD44" s="34"/>
      <c r="BE44" s="34"/>
      <c r="BF44" s="34"/>
      <c r="BG44" s="34"/>
      <c r="BH44" s="34"/>
    </row>
    <row r="45" spans="1:60" ht="11.1" customHeight="1" x14ac:dyDescent="0.2">
      <c r="C45" s="29"/>
      <c r="D45" s="29"/>
      <c r="G45" s="165" t="s">
        <v>24</v>
      </c>
      <c r="H45" s="165"/>
      <c r="I45" s="166" t="s">
        <v>20</v>
      </c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5" t="s">
        <v>99</v>
      </c>
      <c r="AA45" s="165"/>
      <c r="AB45" s="166" t="s">
        <v>21</v>
      </c>
      <c r="AC45" s="166"/>
      <c r="AD45" s="166"/>
      <c r="AE45" s="166"/>
      <c r="AF45" s="166"/>
      <c r="AG45" s="166"/>
      <c r="AH45" s="211" t="s">
        <v>22</v>
      </c>
      <c r="AI45" s="212"/>
      <c r="AJ45" s="165" t="s">
        <v>100</v>
      </c>
      <c r="AK45" s="165"/>
      <c r="AL45" s="194" t="s">
        <v>23</v>
      </c>
      <c r="AM45" s="194"/>
      <c r="AN45" s="194"/>
      <c r="AO45" s="194"/>
      <c r="AP45" s="165" t="s">
        <v>101</v>
      </c>
      <c r="AQ45" s="165"/>
      <c r="AR45" s="194" t="s">
        <v>25</v>
      </c>
      <c r="AS45" s="194"/>
      <c r="AT45" s="194"/>
      <c r="AU45" s="194"/>
      <c r="AV45" s="194"/>
      <c r="AW45" s="194"/>
      <c r="AX45" s="58"/>
      <c r="AY45" s="58"/>
      <c r="BA45" s="34"/>
      <c r="BB45" s="34"/>
      <c r="BC45" s="34"/>
      <c r="BD45" s="34"/>
      <c r="BE45" s="34"/>
      <c r="BF45" s="34"/>
      <c r="BG45" s="34"/>
      <c r="BH45" s="34"/>
    </row>
    <row r="46" spans="1:60" ht="11.1" customHeight="1" x14ac:dyDescent="0.2">
      <c r="C46" s="29">
        <v>2</v>
      </c>
      <c r="D46" s="29">
        <v>6</v>
      </c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1"/>
      <c r="AH46" s="172"/>
      <c r="AI46" s="173"/>
      <c r="AJ46" s="224"/>
      <c r="AK46" s="225"/>
      <c r="AL46" s="225"/>
      <c r="AM46" s="225"/>
      <c r="AN46" s="225"/>
      <c r="AO46" s="225"/>
      <c r="AP46" s="201"/>
      <c r="AQ46" s="202"/>
      <c r="AR46" s="189"/>
      <c r="AS46" s="189"/>
      <c r="AT46" s="189"/>
      <c r="AU46" s="189"/>
      <c r="AV46" s="189"/>
      <c r="AW46" s="190"/>
      <c r="AX46" s="58"/>
      <c r="AY46" s="58"/>
      <c r="BA46" s="34"/>
      <c r="BB46" s="34"/>
      <c r="BC46" s="34"/>
      <c r="BD46" s="34"/>
      <c r="BE46" s="34"/>
      <c r="BF46" s="34"/>
      <c r="BG46" s="34"/>
      <c r="BH46" s="34"/>
    </row>
    <row r="47" spans="1:60" ht="11.1" customHeight="1" x14ac:dyDescent="0.2">
      <c r="C47" s="29"/>
      <c r="D47" s="59"/>
      <c r="G47" s="167" t="s">
        <v>48</v>
      </c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9"/>
      <c r="AX47" s="58"/>
      <c r="AY47" s="58"/>
      <c r="BA47" s="34"/>
      <c r="BB47" s="34"/>
      <c r="BC47" s="34"/>
      <c r="BD47" s="34"/>
      <c r="BE47" s="34"/>
      <c r="BF47" s="34"/>
      <c r="BG47" s="34"/>
      <c r="BH47" s="34"/>
    </row>
    <row r="48" spans="1:60" ht="11.1" customHeight="1" x14ac:dyDescent="0.2">
      <c r="C48" s="29"/>
      <c r="D48" s="59"/>
      <c r="G48" s="151" t="s">
        <v>102</v>
      </c>
      <c r="H48" s="153"/>
      <c r="I48" s="221" t="s">
        <v>26</v>
      </c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3"/>
      <c r="AJ48" s="151" t="s">
        <v>103</v>
      </c>
      <c r="AK48" s="153"/>
      <c r="AL48" s="221" t="s">
        <v>27</v>
      </c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3"/>
      <c r="AX48" s="58"/>
      <c r="AY48" s="58"/>
      <c r="BA48" s="34"/>
      <c r="BB48" s="34"/>
      <c r="BC48" s="34"/>
      <c r="BD48" s="34"/>
      <c r="BE48" s="34"/>
      <c r="BF48" s="34"/>
      <c r="BG48" s="3"/>
      <c r="BH48" s="34"/>
    </row>
    <row r="49" spans="1:65" ht="11.1" customHeight="1" x14ac:dyDescent="0.2">
      <c r="C49" s="29">
        <v>3</v>
      </c>
      <c r="D49" s="59">
        <v>2</v>
      </c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3"/>
      <c r="AP49" s="213"/>
      <c r="AQ49" s="213"/>
      <c r="AR49" s="213"/>
      <c r="AS49" s="213"/>
      <c r="AT49" s="213"/>
      <c r="AU49" s="213"/>
      <c r="AV49" s="213"/>
      <c r="AW49" s="213"/>
      <c r="AX49" s="58"/>
      <c r="AY49" s="58"/>
      <c r="BA49" s="34"/>
      <c r="BB49" s="34"/>
      <c r="BC49" s="34"/>
      <c r="BD49" s="34"/>
      <c r="BE49" s="43"/>
      <c r="BF49" s="43"/>
      <c r="BG49" s="3"/>
      <c r="BH49" s="34"/>
    </row>
    <row r="50" spans="1:65" ht="11.1" customHeight="1" x14ac:dyDescent="0.2">
      <c r="C50" s="29"/>
      <c r="D50" s="59"/>
      <c r="G50" s="151" t="s">
        <v>104</v>
      </c>
      <c r="H50" s="153"/>
      <c r="I50" s="221" t="s">
        <v>28</v>
      </c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3"/>
      <c r="V50" s="151" t="s">
        <v>105</v>
      </c>
      <c r="W50" s="153"/>
      <c r="X50" s="214" t="s">
        <v>29</v>
      </c>
      <c r="Y50" s="215"/>
      <c r="Z50" s="216"/>
      <c r="AA50" s="151" t="s">
        <v>106</v>
      </c>
      <c r="AB50" s="153"/>
      <c r="AC50" s="214" t="s">
        <v>30</v>
      </c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  <c r="AN50" s="215"/>
      <c r="AO50" s="215"/>
      <c r="AP50" s="215"/>
      <c r="AQ50" s="215"/>
      <c r="AR50" s="216"/>
      <c r="AS50" s="151" t="s">
        <v>107</v>
      </c>
      <c r="AT50" s="153"/>
      <c r="AU50" s="214" t="s">
        <v>22</v>
      </c>
      <c r="AV50" s="215"/>
      <c r="AW50" s="216"/>
      <c r="AX50" s="34"/>
      <c r="AY50" s="34"/>
      <c r="BA50" s="34"/>
      <c r="BB50" s="34"/>
      <c r="BC50" s="34"/>
      <c r="BD50" s="34"/>
      <c r="BE50" s="34"/>
      <c r="BF50" s="34"/>
      <c r="BG50" s="3"/>
      <c r="BH50" s="34"/>
    </row>
    <row r="51" spans="1:65" ht="11.1" customHeight="1" x14ac:dyDescent="0.2">
      <c r="C51" s="29">
        <v>4</v>
      </c>
      <c r="D51" s="59">
        <v>4</v>
      </c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217"/>
      <c r="W51" s="217"/>
      <c r="X51" s="217"/>
      <c r="Y51" s="217"/>
      <c r="Z51" s="217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Q51" s="170"/>
      <c r="AR51" s="170"/>
      <c r="AS51" s="172"/>
      <c r="AT51" s="226"/>
      <c r="AU51" s="226"/>
      <c r="AV51" s="226"/>
      <c r="AW51" s="173"/>
      <c r="AX51" s="34"/>
      <c r="AY51" s="34"/>
      <c r="BA51" s="34"/>
      <c r="BB51" s="34"/>
      <c r="BC51" s="34"/>
      <c r="BD51" s="34"/>
      <c r="BE51" s="34"/>
      <c r="BF51" s="34"/>
      <c r="BG51" s="3"/>
    </row>
    <row r="52" spans="1:65" ht="11.1" customHeight="1" x14ac:dyDescent="0.2">
      <c r="C52" s="29"/>
      <c r="D52" s="59"/>
      <c r="G52" s="151" t="s">
        <v>108</v>
      </c>
      <c r="H52" s="153"/>
      <c r="I52" s="214" t="s">
        <v>114</v>
      </c>
      <c r="J52" s="215"/>
      <c r="K52" s="215"/>
      <c r="L52" s="215"/>
      <c r="M52" s="215"/>
      <c r="N52" s="215"/>
      <c r="O52" s="215"/>
      <c r="P52" s="216"/>
      <c r="Q52" s="151" t="s">
        <v>109</v>
      </c>
      <c r="R52" s="153"/>
      <c r="S52" s="214" t="s">
        <v>31</v>
      </c>
      <c r="T52" s="215"/>
      <c r="U52" s="215"/>
      <c r="V52" s="215"/>
      <c r="W52" s="215"/>
      <c r="X52" s="215"/>
      <c r="Y52" s="215"/>
      <c r="Z52" s="216"/>
      <c r="AA52" s="151" t="s">
        <v>110</v>
      </c>
      <c r="AB52" s="153"/>
      <c r="AC52" s="214" t="s">
        <v>32</v>
      </c>
      <c r="AD52" s="215"/>
      <c r="AE52" s="215"/>
      <c r="AF52" s="215"/>
      <c r="AG52" s="215"/>
      <c r="AH52" s="215"/>
      <c r="AI52" s="216"/>
      <c r="AJ52" s="151" t="s">
        <v>111</v>
      </c>
      <c r="AK52" s="153"/>
      <c r="AL52" s="214" t="s">
        <v>33</v>
      </c>
      <c r="AM52" s="215"/>
      <c r="AN52" s="215"/>
      <c r="AO52" s="215"/>
      <c r="AP52" s="215"/>
      <c r="AQ52" s="215"/>
      <c r="AR52" s="216"/>
      <c r="AS52" s="151" t="s">
        <v>112</v>
      </c>
      <c r="AT52" s="153"/>
      <c r="AU52" s="214" t="s">
        <v>22</v>
      </c>
      <c r="AV52" s="215"/>
      <c r="AW52" s="216"/>
      <c r="AX52" s="58"/>
      <c r="BA52" s="34"/>
      <c r="BB52" s="34"/>
      <c r="BC52" s="34"/>
      <c r="BD52" s="34"/>
      <c r="BE52" s="34"/>
      <c r="BF52" s="34"/>
      <c r="BG52" s="3"/>
    </row>
    <row r="53" spans="1:65" ht="11.1" customHeight="1" x14ac:dyDescent="0.2">
      <c r="C53" s="29">
        <v>5</v>
      </c>
      <c r="D53" s="59">
        <v>5</v>
      </c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  <c r="AN53" s="213"/>
      <c r="AO53" s="213"/>
      <c r="AP53" s="213"/>
      <c r="AQ53" s="213"/>
      <c r="AR53" s="213"/>
      <c r="AS53" s="172"/>
      <c r="AT53" s="226"/>
      <c r="AU53" s="226"/>
      <c r="AV53" s="226"/>
      <c r="AW53" s="173"/>
      <c r="AX53" s="58"/>
      <c r="BA53" s="34"/>
      <c r="BB53" s="34"/>
      <c r="BC53" s="34"/>
      <c r="BD53" s="34"/>
      <c r="BE53" s="34"/>
      <c r="BF53" s="34"/>
      <c r="BG53" s="3"/>
    </row>
    <row r="54" spans="1:65" ht="11.1" customHeight="1" x14ac:dyDescent="0.2">
      <c r="C54" s="29"/>
      <c r="D54" s="59"/>
      <c r="G54" s="151" t="s">
        <v>122</v>
      </c>
      <c r="H54" s="153"/>
      <c r="I54" s="214" t="s">
        <v>123</v>
      </c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6"/>
      <c r="AX54" s="44"/>
      <c r="AY54" s="44"/>
      <c r="BA54" s="34"/>
      <c r="BB54" s="34"/>
      <c r="BC54" s="34"/>
      <c r="BD54" s="34"/>
      <c r="BE54" s="34"/>
      <c r="BF54" s="34"/>
      <c r="BG54" s="34"/>
      <c r="BH54" s="34"/>
    </row>
    <row r="55" spans="1:65" ht="11.1" customHeight="1" x14ac:dyDescent="0.2">
      <c r="A55" s="29">
        <v>0</v>
      </c>
      <c r="C55" s="29">
        <v>5</v>
      </c>
      <c r="D55" s="59">
        <v>5</v>
      </c>
      <c r="G55" s="151" t="s">
        <v>124</v>
      </c>
      <c r="H55" s="152"/>
      <c r="I55" s="153"/>
      <c r="J55" s="154" t="s">
        <v>125</v>
      </c>
      <c r="K55" s="155"/>
      <c r="L55" s="155"/>
      <c r="M55" s="155"/>
      <c r="N55" s="156"/>
      <c r="O55" s="151" t="s">
        <v>126</v>
      </c>
      <c r="P55" s="152"/>
      <c r="Q55" s="153"/>
      <c r="R55" s="154" t="s">
        <v>127</v>
      </c>
      <c r="S55" s="155"/>
      <c r="T55" s="155"/>
      <c r="U55" s="155"/>
      <c r="V55" s="156"/>
      <c r="W55" s="151" t="s">
        <v>128</v>
      </c>
      <c r="X55" s="152"/>
      <c r="Y55" s="153"/>
      <c r="Z55" s="154" t="s">
        <v>129</v>
      </c>
      <c r="AA55" s="155"/>
      <c r="AB55" s="155"/>
      <c r="AC55" s="155"/>
      <c r="AD55" s="155"/>
      <c r="AE55" s="155"/>
      <c r="AF55" s="156"/>
      <c r="AG55" s="227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9"/>
      <c r="AX55" s="44"/>
      <c r="AY55" s="44"/>
      <c r="BA55" s="34"/>
      <c r="BB55" s="34"/>
      <c r="BC55" s="34"/>
      <c r="BD55" s="34"/>
      <c r="BE55" s="34"/>
      <c r="BF55" s="34"/>
      <c r="BG55" s="34"/>
      <c r="BH55" s="105"/>
    </row>
    <row r="56" spans="1:65" ht="11.1" customHeight="1" x14ac:dyDescent="0.2">
      <c r="C56" s="29"/>
      <c r="D56" s="59"/>
      <c r="G56" s="151" t="s">
        <v>130</v>
      </c>
      <c r="H56" s="153"/>
      <c r="I56" s="214" t="s">
        <v>131</v>
      </c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  <c r="AN56" s="215"/>
      <c r="AO56" s="215"/>
      <c r="AP56" s="215"/>
      <c r="AQ56" s="215"/>
      <c r="AR56" s="215"/>
      <c r="AS56" s="215"/>
      <c r="AT56" s="215"/>
      <c r="AU56" s="215"/>
      <c r="AV56" s="215"/>
      <c r="AW56" s="216"/>
      <c r="AX56" s="44"/>
      <c r="AY56" s="44"/>
      <c r="AZ56" s="44"/>
      <c r="BC56" s="58"/>
      <c r="BD56" s="43"/>
      <c r="BE56" s="34"/>
      <c r="BF56" s="34"/>
      <c r="BG56" s="34"/>
      <c r="BH56" s="34"/>
    </row>
    <row r="57" spans="1:65" ht="11.1" customHeight="1" x14ac:dyDescent="0.2">
      <c r="A57" s="29">
        <v>0</v>
      </c>
      <c r="C57" s="29">
        <v>5</v>
      </c>
      <c r="D57" s="59">
        <v>5</v>
      </c>
      <c r="G57" s="151" t="s">
        <v>132</v>
      </c>
      <c r="H57" s="152"/>
      <c r="I57" s="153"/>
      <c r="J57" s="154" t="s">
        <v>0</v>
      </c>
      <c r="K57" s="155"/>
      <c r="L57" s="155"/>
      <c r="M57" s="155"/>
      <c r="N57" s="155"/>
      <c r="O57" s="155"/>
      <c r="P57" s="155"/>
      <c r="Q57" s="155"/>
      <c r="R57" s="155"/>
      <c r="S57" s="155"/>
      <c r="T57" s="156"/>
      <c r="U57" s="151" t="s">
        <v>133</v>
      </c>
      <c r="V57" s="152"/>
      <c r="W57" s="153"/>
      <c r="X57" s="154" t="s">
        <v>34</v>
      </c>
      <c r="Y57" s="155"/>
      <c r="Z57" s="155"/>
      <c r="AA57" s="155"/>
      <c r="AB57" s="155"/>
      <c r="AC57" s="155"/>
      <c r="AD57" s="155"/>
      <c r="AE57" s="155"/>
      <c r="AF57" s="155"/>
      <c r="AG57" s="155"/>
      <c r="AH57" s="156"/>
      <c r="AI57" s="151" t="s">
        <v>134</v>
      </c>
      <c r="AJ57" s="152"/>
      <c r="AK57" s="153"/>
      <c r="AL57" s="154" t="s">
        <v>135</v>
      </c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6"/>
      <c r="AX57" s="44"/>
      <c r="AY57" s="44"/>
      <c r="AZ57" s="44"/>
      <c r="BB57" s="145" t="s">
        <v>154</v>
      </c>
      <c r="BC57" s="146"/>
      <c r="BD57" s="146"/>
      <c r="BE57" s="147"/>
      <c r="BG57" s="136" t="s">
        <v>161</v>
      </c>
      <c r="BH57" s="137"/>
      <c r="BI57" s="104"/>
      <c r="BJ57" s="93"/>
      <c r="BK57" s="93"/>
      <c r="BL57" s="93"/>
      <c r="BM57" s="93"/>
    </row>
    <row r="58" spans="1:65" s="3" customFormat="1" ht="3.95" customHeight="1" x14ac:dyDescent="0.2">
      <c r="A58" s="29"/>
      <c r="B58" s="29"/>
      <c r="C58" s="29"/>
      <c r="D58" s="29"/>
      <c r="E58" s="5" t="s">
        <v>41</v>
      </c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Z58" s="44"/>
      <c r="BA58" s="44"/>
      <c r="BB58" s="44"/>
      <c r="BC58" s="44"/>
      <c r="BD58" s="44"/>
      <c r="BE58" s="44"/>
      <c r="BF58" s="44"/>
      <c r="BG58" s="44"/>
      <c r="BH58" s="43"/>
      <c r="BI58" s="43"/>
      <c r="BJ58" s="93"/>
      <c r="BK58" s="93"/>
      <c r="BL58" s="93"/>
      <c r="BM58" s="93"/>
    </row>
    <row r="59" spans="1:65" ht="11.1" customHeight="1" thickBot="1" x14ac:dyDescent="0.25">
      <c r="A59" s="66"/>
      <c r="B59" s="66"/>
      <c r="C59" s="66"/>
      <c r="D59" s="22"/>
      <c r="E59" s="19"/>
      <c r="F59" s="82"/>
      <c r="G59" s="83" t="s">
        <v>159</v>
      </c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4"/>
      <c r="AZ59" s="44"/>
      <c r="BB59" s="85" t="s">
        <v>150</v>
      </c>
      <c r="BC59" s="85" t="s">
        <v>153</v>
      </c>
      <c r="BD59" s="85" t="s">
        <v>152</v>
      </c>
      <c r="BE59" s="85" t="s">
        <v>167</v>
      </c>
      <c r="BG59" s="85" t="s">
        <v>162</v>
      </c>
      <c r="BH59" s="87">
        <f>Y88</f>
        <v>0</v>
      </c>
      <c r="BI59" s="104" t="str">
        <f ca="1">IF(NOT(ISNA(OFFSET(BD60,MATCH(BH59,BD61:BD91,0),0))),"P","V")</f>
        <v>P</v>
      </c>
      <c r="BJ59" s="93"/>
      <c r="BK59" s="108"/>
      <c r="BL59" s="93"/>
      <c r="BM59" s="93"/>
    </row>
    <row r="60" spans="1:65" ht="3.95" customHeight="1" x14ac:dyDescent="0.2">
      <c r="C60" s="29"/>
      <c r="D60" s="59"/>
      <c r="E60" s="5" t="s">
        <v>13</v>
      </c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18"/>
      <c r="AL60" s="55"/>
      <c r="AM60" s="55"/>
      <c r="AN60" s="55"/>
      <c r="AO60" s="55"/>
      <c r="AP60" s="55"/>
      <c r="AQ60" s="55"/>
      <c r="AZ60" s="3"/>
      <c r="BA60" s="3"/>
      <c r="BB60" s="34"/>
      <c r="BC60" s="34"/>
      <c r="BD60" s="34"/>
      <c r="BE60" s="34"/>
      <c r="BF60" s="34"/>
      <c r="BG60" s="34"/>
      <c r="BH60" s="34"/>
      <c r="BI60" s="3"/>
      <c r="BJ60" s="93"/>
      <c r="BK60" s="93"/>
      <c r="BL60" s="93"/>
      <c r="BM60" s="93"/>
    </row>
    <row r="61" spans="1:65" ht="11.1" customHeight="1" x14ac:dyDescent="0.2">
      <c r="C61" s="29"/>
      <c r="D61" s="59"/>
      <c r="G61" s="138" t="s">
        <v>50</v>
      </c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20"/>
      <c r="AC61" s="138" t="s">
        <v>72</v>
      </c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BB61" s="91" t="s">
        <v>151</v>
      </c>
      <c r="BC61" s="96"/>
      <c r="BD61" s="86">
        <f>BC61</f>
        <v>0</v>
      </c>
      <c r="BE61" s="89">
        <f>AH63</f>
        <v>0</v>
      </c>
      <c r="BG61" s="85" t="s">
        <v>163</v>
      </c>
      <c r="BH61" s="95">
        <f>AS74</f>
        <v>0</v>
      </c>
      <c r="BJ61" s="93"/>
      <c r="BK61" s="93"/>
      <c r="BL61" s="93"/>
      <c r="BM61" s="93"/>
    </row>
    <row r="62" spans="1:65" ht="11.1" customHeight="1" x14ac:dyDescent="0.2">
      <c r="C62" s="29"/>
      <c r="D62" s="59"/>
      <c r="G62" s="148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50"/>
      <c r="AB62" s="20"/>
      <c r="AC62" s="148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50"/>
      <c r="BB62" s="85">
        <v>1</v>
      </c>
      <c r="BC62" s="96"/>
      <c r="BD62" s="86">
        <f>BC62+BD61</f>
        <v>0</v>
      </c>
      <c r="BE62" s="89">
        <f>IF(OR(BD62+BD61=200,BD62+BD61=0),0,DATE(YEAR(BE61),MONTH(BE61)+1,DAY(BE61)))</f>
        <v>0</v>
      </c>
      <c r="BG62" s="85" t="s">
        <v>166</v>
      </c>
      <c r="BH62" s="95">
        <f ca="1">IF(OR(BH59=0,SUM(V68:X87)=0,SUM(BC61:BC91)=0,BH61=0),0,IF(BH59=100,OFFSET(BB60,MATCH(100,BD61:BD91,0),0),IF(AND(OR(BC61="",BC61=0),OFFSET(BB60,MATCH(BH59,BD61:BD91,1),0)="Executado"),1,IF(COUNTIF(BD61:BD91,Y88)&gt;0,OFFSET(BB60,MATCH(BH59,BD61:BD91,0),0),OFFSET(BB60,1+MATCH(BH59,BD61:BD91,1),0)))))</f>
        <v>0</v>
      </c>
      <c r="BJ62" s="93"/>
      <c r="BK62" s="93"/>
      <c r="BL62" s="93"/>
      <c r="BM62" s="93"/>
    </row>
    <row r="63" spans="1:65" ht="11.1" customHeight="1" x14ac:dyDescent="0.2">
      <c r="C63" s="29"/>
      <c r="D63" s="59"/>
      <c r="F63" s="68"/>
      <c r="G63" s="160" t="s">
        <v>49</v>
      </c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 t="s">
        <v>73</v>
      </c>
      <c r="T63" s="160"/>
      <c r="U63" s="160"/>
      <c r="V63" s="161" t="s">
        <v>74</v>
      </c>
      <c r="W63" s="161"/>
      <c r="X63" s="161"/>
      <c r="Y63" s="160" t="s">
        <v>75</v>
      </c>
      <c r="Z63" s="160"/>
      <c r="AA63" s="160"/>
      <c r="AB63" s="34"/>
      <c r="AC63" s="142" t="s">
        <v>76</v>
      </c>
      <c r="AD63" s="143"/>
      <c r="AE63" s="143"/>
      <c r="AF63" s="143"/>
      <c r="AG63" s="144"/>
      <c r="AH63" s="139"/>
      <c r="AI63" s="140"/>
      <c r="AJ63" s="140"/>
      <c r="AK63" s="140"/>
      <c r="AL63" s="141"/>
      <c r="AM63" s="157" t="s">
        <v>77</v>
      </c>
      <c r="AN63" s="158"/>
      <c r="AO63" s="158"/>
      <c r="AP63" s="158"/>
      <c r="AQ63" s="158"/>
      <c r="AR63" s="159"/>
      <c r="AS63" s="139"/>
      <c r="AT63" s="140"/>
      <c r="AU63" s="140"/>
      <c r="AV63" s="140"/>
      <c r="AW63" s="141"/>
      <c r="BB63" s="85">
        <v>2</v>
      </c>
      <c r="BC63" s="96"/>
      <c r="BD63" s="86">
        <f t="shared" ref="BD63:BD88" si="0">BC63+BD62</f>
        <v>0</v>
      </c>
      <c r="BE63" s="89">
        <f t="shared" ref="BE63:BE91" si="1">IF(OR(BD63+BD62=200,BD63+BD62=0),0,DATE(YEAR(BE62),MONTH(BE62)+1,DAY(BE62)))</f>
        <v>0</v>
      </c>
      <c r="BG63" s="85" t="s">
        <v>164</v>
      </c>
      <c r="BH63" s="86">
        <f ca="1">IF(OR(BH59=0,SUM(V68:X87)=0,SUM(BC61:BC91)=0,BH61=0),0,IF(BH59=0,0,IF(BI59="P",OFFSET(BD61,MATCH(BH61,BB62:BB91,0),0),OFFSET(BD61,MATCH(BH61,BB62:BB91,1),0))))</f>
        <v>0</v>
      </c>
      <c r="BJ63" s="93"/>
      <c r="BK63" s="93"/>
      <c r="BL63" s="93"/>
      <c r="BM63" s="93"/>
    </row>
    <row r="64" spans="1:65" ht="11.1" customHeight="1" x14ac:dyDescent="0.2">
      <c r="C64" s="29"/>
      <c r="D64" s="59"/>
      <c r="F64" s="68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1"/>
      <c r="X64" s="161"/>
      <c r="Y64" s="160"/>
      <c r="Z64" s="160"/>
      <c r="AA64" s="160"/>
      <c r="AB64" s="34"/>
      <c r="AC64" s="148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50"/>
      <c r="BB64" s="85">
        <v>3</v>
      </c>
      <c r="BC64" s="96"/>
      <c r="BD64" s="86">
        <f t="shared" si="0"/>
        <v>0</v>
      </c>
      <c r="BE64" s="89">
        <f t="shared" si="1"/>
        <v>0</v>
      </c>
      <c r="BG64" s="85" t="s">
        <v>165</v>
      </c>
      <c r="BH64" s="103">
        <f ca="1">IF(OR(BH59=0,SUM(V68:X87)=0,SUM(BC61:BC91)=0,BH61=0),0,IF(OR(BH59=0,COUNTIF(BD61:BD91,Y88)&gt;0),100,IF(BI59="P",
ROUND(100*(BH59-OFFSET(BD60,MATCH(BH59,BD61:BD91,0),0))/(OFFSET(BD60,1+MATCH(BH59,BD61:BD91,0),0)-OFFSET(BD60,MATCH(BH59,BD61:BD91,0),0)),2),
ROUND(100*(BH59-OFFSET(BD60,MATCH(BH59,BD61:BD91,1),0))/(OFFSET(BD60,1+MATCH(BH59,BD61:BD91,1),0)-OFFSET(BD60,MATCH(BH59,BD61:BD91,1),0)),2))))</f>
        <v>0</v>
      </c>
      <c r="BJ64" s="93"/>
      <c r="BK64" s="93"/>
      <c r="BL64" s="93"/>
      <c r="BM64" s="93"/>
    </row>
    <row r="65" spans="3:66" ht="11.1" customHeight="1" x14ac:dyDescent="0.2">
      <c r="C65" s="29"/>
      <c r="D65" s="59"/>
      <c r="F65" s="68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1"/>
      <c r="X65" s="161"/>
      <c r="Y65" s="160"/>
      <c r="Z65" s="160"/>
      <c r="AA65" s="160"/>
      <c r="AB65" s="34"/>
      <c r="AC65" s="142" t="s">
        <v>78</v>
      </c>
      <c r="AD65" s="143"/>
      <c r="AE65" s="143"/>
      <c r="AF65" s="143"/>
      <c r="AG65" s="143"/>
      <c r="AH65" s="143"/>
      <c r="AI65" s="143"/>
      <c r="AJ65" s="144"/>
      <c r="AK65" s="139"/>
      <c r="AL65" s="140"/>
      <c r="AM65" s="140"/>
      <c r="AN65" s="140"/>
      <c r="AO65" s="141"/>
      <c r="AP65" s="238"/>
      <c r="AQ65" s="239"/>
      <c r="AR65" s="239"/>
      <c r="AS65" s="239"/>
      <c r="AT65" s="239"/>
      <c r="AU65" s="239"/>
      <c r="AV65" s="239"/>
      <c r="AW65" s="240"/>
      <c r="BB65" s="85">
        <v>4</v>
      </c>
      <c r="BC65" s="96"/>
      <c r="BD65" s="86">
        <f t="shared" si="0"/>
        <v>0</v>
      </c>
      <c r="BE65" s="89">
        <f t="shared" si="1"/>
        <v>0</v>
      </c>
      <c r="BH65" s="93"/>
      <c r="BJ65" s="93"/>
      <c r="BK65" s="93"/>
      <c r="BL65" s="93"/>
      <c r="BM65" s="93"/>
    </row>
    <row r="66" spans="3:66" ht="11.1" customHeight="1" x14ac:dyDescent="0.2">
      <c r="C66" s="29"/>
      <c r="D66" s="59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1"/>
      <c r="X66" s="161"/>
      <c r="Y66" s="160"/>
      <c r="Z66" s="160"/>
      <c r="AA66" s="160"/>
      <c r="AB66" s="20"/>
      <c r="AC66" s="148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50"/>
      <c r="BB66" s="85">
        <v>5</v>
      </c>
      <c r="BC66" s="96"/>
      <c r="BD66" s="86">
        <f t="shared" si="0"/>
        <v>0</v>
      </c>
      <c r="BE66" s="89">
        <f t="shared" si="1"/>
        <v>0</v>
      </c>
    </row>
    <row r="67" spans="3:66" ht="11.1" customHeight="1" x14ac:dyDescent="0.2">
      <c r="C67" s="29"/>
      <c r="D67" s="59"/>
      <c r="F67" s="69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 t="s">
        <v>59</v>
      </c>
      <c r="T67" s="160"/>
      <c r="U67" s="160"/>
      <c r="V67" s="160" t="s">
        <v>59</v>
      </c>
      <c r="W67" s="160"/>
      <c r="X67" s="160"/>
      <c r="Y67" s="160" t="s">
        <v>59</v>
      </c>
      <c r="Z67" s="160"/>
      <c r="AA67" s="160"/>
      <c r="AB67" s="34"/>
      <c r="AC67" s="235" t="s">
        <v>79</v>
      </c>
      <c r="AD67" s="236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7"/>
      <c r="AS67" s="257"/>
      <c r="AT67" s="258"/>
      <c r="AU67" s="258"/>
      <c r="AV67" s="258"/>
      <c r="AW67" s="259"/>
      <c r="AX67" s="34"/>
      <c r="AY67" s="34"/>
      <c r="AZ67" s="43"/>
      <c r="BB67" s="85">
        <v>6</v>
      </c>
      <c r="BC67" s="96"/>
      <c r="BD67" s="86">
        <f t="shared" si="0"/>
        <v>0</v>
      </c>
      <c r="BE67" s="89">
        <f t="shared" si="1"/>
        <v>0</v>
      </c>
      <c r="BN67" s="102"/>
    </row>
    <row r="68" spans="3:66" ht="11.1" customHeight="1" x14ac:dyDescent="0.2">
      <c r="C68" s="29"/>
      <c r="D68" s="59"/>
      <c r="F68" s="69"/>
      <c r="G68" s="242" t="s">
        <v>172</v>
      </c>
      <c r="H68" s="242"/>
      <c r="I68" s="241" t="s">
        <v>60</v>
      </c>
      <c r="J68" s="241"/>
      <c r="K68" s="241"/>
      <c r="L68" s="241"/>
      <c r="M68" s="241"/>
      <c r="N68" s="241"/>
      <c r="O68" s="241"/>
      <c r="P68" s="241"/>
      <c r="Q68" s="241"/>
      <c r="R68" s="241"/>
      <c r="S68" s="243"/>
      <c r="T68" s="243"/>
      <c r="U68" s="243"/>
      <c r="V68" s="253"/>
      <c r="W68" s="253"/>
      <c r="X68" s="253"/>
      <c r="Y68" s="244">
        <f>IF(S68=0,0,V68*S68/100)</f>
        <v>0</v>
      </c>
      <c r="Z68" s="244"/>
      <c r="AA68" s="244"/>
      <c r="AB68" s="34"/>
      <c r="AC68" s="254" t="s">
        <v>92</v>
      </c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6"/>
      <c r="AS68" s="257"/>
      <c r="AT68" s="258"/>
      <c r="AU68" s="258"/>
      <c r="AV68" s="258"/>
      <c r="AW68" s="259"/>
      <c r="AX68" s="34"/>
      <c r="AZ68" s="43"/>
      <c r="BB68" s="85">
        <v>7</v>
      </c>
      <c r="BC68" s="96"/>
      <c r="BD68" s="86">
        <f t="shared" si="0"/>
        <v>0</v>
      </c>
      <c r="BE68" s="89">
        <f t="shared" si="1"/>
        <v>0</v>
      </c>
      <c r="BH68" s="97"/>
      <c r="BI68" s="97"/>
    </row>
    <row r="69" spans="3:66" ht="11.1" customHeight="1" x14ac:dyDescent="0.2">
      <c r="C69" s="29"/>
      <c r="D69" s="59"/>
      <c r="F69" s="69"/>
      <c r="G69" s="242" t="s">
        <v>173</v>
      </c>
      <c r="H69" s="242"/>
      <c r="I69" s="241" t="s">
        <v>61</v>
      </c>
      <c r="J69" s="241"/>
      <c r="K69" s="241"/>
      <c r="L69" s="241"/>
      <c r="M69" s="241"/>
      <c r="N69" s="241"/>
      <c r="O69" s="241"/>
      <c r="P69" s="241"/>
      <c r="Q69" s="241"/>
      <c r="R69" s="241"/>
      <c r="S69" s="243"/>
      <c r="T69" s="243"/>
      <c r="U69" s="243"/>
      <c r="V69" s="253"/>
      <c r="W69" s="253"/>
      <c r="X69" s="253"/>
      <c r="Y69" s="244">
        <f t="shared" ref="Y69:Y87" si="2">IF(S69=0,0,V69*S69/100)</f>
        <v>0</v>
      </c>
      <c r="Z69" s="244"/>
      <c r="AA69" s="244"/>
      <c r="AB69" s="34"/>
      <c r="AC69" s="254" t="s">
        <v>80</v>
      </c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6"/>
      <c r="AS69" s="257"/>
      <c r="AT69" s="258"/>
      <c r="AU69" s="258"/>
      <c r="AV69" s="258"/>
      <c r="AW69" s="259"/>
      <c r="AX69" s="34"/>
      <c r="AZ69" s="43"/>
      <c r="BB69" s="85">
        <v>8</v>
      </c>
      <c r="BC69" s="96"/>
      <c r="BD69" s="86">
        <f t="shared" si="0"/>
        <v>0</v>
      </c>
      <c r="BE69" s="89">
        <f t="shared" si="1"/>
        <v>0</v>
      </c>
      <c r="BG69" s="107"/>
    </row>
    <row r="70" spans="3:66" ht="11.1" customHeight="1" x14ac:dyDescent="0.2">
      <c r="C70" s="29"/>
      <c r="D70" s="59"/>
      <c r="F70" s="69"/>
      <c r="G70" s="242" t="s">
        <v>174</v>
      </c>
      <c r="H70" s="242"/>
      <c r="I70" s="241" t="s">
        <v>63</v>
      </c>
      <c r="J70" s="241"/>
      <c r="K70" s="241"/>
      <c r="L70" s="241"/>
      <c r="M70" s="241"/>
      <c r="N70" s="241"/>
      <c r="O70" s="241"/>
      <c r="P70" s="241"/>
      <c r="Q70" s="241"/>
      <c r="R70" s="241"/>
      <c r="S70" s="243"/>
      <c r="T70" s="243"/>
      <c r="U70" s="243"/>
      <c r="V70" s="253"/>
      <c r="W70" s="253"/>
      <c r="X70" s="253"/>
      <c r="Y70" s="244">
        <f t="shared" si="2"/>
        <v>0</v>
      </c>
      <c r="Z70" s="244"/>
      <c r="AA70" s="244"/>
      <c r="AB70" s="34"/>
      <c r="AC70" s="254" t="s">
        <v>81</v>
      </c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6"/>
      <c r="AS70" s="257"/>
      <c r="AT70" s="258"/>
      <c r="AU70" s="258"/>
      <c r="AV70" s="258"/>
      <c r="AW70" s="259"/>
      <c r="AX70" s="34"/>
      <c r="AZ70" s="43"/>
      <c r="BB70" s="85">
        <v>9</v>
      </c>
      <c r="BC70" s="96"/>
      <c r="BD70" s="86">
        <f t="shared" si="0"/>
        <v>0</v>
      </c>
      <c r="BE70" s="89">
        <f t="shared" si="1"/>
        <v>0</v>
      </c>
      <c r="BH70" s="88"/>
    </row>
    <row r="71" spans="3:66" ht="11.1" customHeight="1" x14ac:dyDescent="0.2">
      <c r="C71" s="29"/>
      <c r="D71" s="59"/>
      <c r="F71" s="69"/>
      <c r="G71" s="242" t="s">
        <v>175</v>
      </c>
      <c r="H71" s="242"/>
      <c r="I71" s="241" t="s">
        <v>65</v>
      </c>
      <c r="J71" s="241"/>
      <c r="K71" s="241"/>
      <c r="L71" s="241"/>
      <c r="M71" s="241"/>
      <c r="N71" s="241"/>
      <c r="O71" s="241"/>
      <c r="P71" s="241"/>
      <c r="Q71" s="241"/>
      <c r="R71" s="241"/>
      <c r="S71" s="243"/>
      <c r="T71" s="243"/>
      <c r="U71" s="243"/>
      <c r="V71" s="253"/>
      <c r="W71" s="253"/>
      <c r="X71" s="253"/>
      <c r="Y71" s="244">
        <f t="shared" si="2"/>
        <v>0</v>
      </c>
      <c r="Z71" s="244"/>
      <c r="AA71" s="244"/>
      <c r="AB71" s="34"/>
      <c r="AC71" s="254" t="s">
        <v>82</v>
      </c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6"/>
      <c r="AS71" s="257"/>
      <c r="AT71" s="258"/>
      <c r="AU71" s="258"/>
      <c r="AV71" s="258"/>
      <c r="AW71" s="259"/>
      <c r="AX71" s="34"/>
      <c r="AZ71" s="43"/>
      <c r="BB71" s="85">
        <v>10</v>
      </c>
      <c r="BC71" s="96"/>
      <c r="BD71" s="86">
        <f t="shared" si="0"/>
        <v>0</v>
      </c>
      <c r="BE71" s="89">
        <f t="shared" si="1"/>
        <v>0</v>
      </c>
    </row>
    <row r="72" spans="3:66" ht="11.1" customHeight="1" x14ac:dyDescent="0.2">
      <c r="C72" s="29"/>
      <c r="D72" s="59"/>
      <c r="F72" s="69"/>
      <c r="G72" s="242" t="s">
        <v>176</v>
      </c>
      <c r="H72" s="242"/>
      <c r="I72" s="241" t="s">
        <v>51</v>
      </c>
      <c r="J72" s="241"/>
      <c r="K72" s="241"/>
      <c r="L72" s="241"/>
      <c r="M72" s="241"/>
      <c r="N72" s="241"/>
      <c r="O72" s="241"/>
      <c r="P72" s="241"/>
      <c r="Q72" s="241"/>
      <c r="R72" s="241"/>
      <c r="S72" s="243"/>
      <c r="T72" s="243"/>
      <c r="U72" s="243"/>
      <c r="V72" s="253"/>
      <c r="W72" s="253"/>
      <c r="X72" s="253"/>
      <c r="Y72" s="244">
        <f t="shared" si="2"/>
        <v>0</v>
      </c>
      <c r="Z72" s="244"/>
      <c r="AA72" s="244"/>
      <c r="AB72" s="34"/>
      <c r="AC72" s="266" t="s">
        <v>83</v>
      </c>
      <c r="AD72" s="266"/>
      <c r="AE72" s="266"/>
      <c r="AF72" s="266"/>
      <c r="AG72" s="266"/>
      <c r="AH72" s="266"/>
      <c r="AI72" s="266"/>
      <c r="AJ72" s="266"/>
      <c r="AK72" s="266"/>
      <c r="AL72" s="266"/>
      <c r="AM72" s="266"/>
      <c r="AN72" s="266"/>
      <c r="AO72" s="266"/>
      <c r="AP72" s="266"/>
      <c r="AQ72" s="266"/>
      <c r="AR72" s="266"/>
      <c r="AS72" s="257"/>
      <c r="AT72" s="258"/>
      <c r="AU72" s="258"/>
      <c r="AV72" s="258"/>
      <c r="AW72" s="259"/>
      <c r="AX72" s="34"/>
      <c r="AZ72" s="43"/>
      <c r="BB72" s="85">
        <v>11</v>
      </c>
      <c r="BC72" s="96"/>
      <c r="BD72" s="86">
        <f t="shared" si="0"/>
        <v>0</v>
      </c>
      <c r="BE72" s="89">
        <f t="shared" si="1"/>
        <v>0</v>
      </c>
      <c r="BG72" s="88"/>
      <c r="BH72" s="88"/>
    </row>
    <row r="73" spans="3:66" ht="11.1" customHeight="1" x14ac:dyDescent="0.2">
      <c r="C73" s="29"/>
      <c r="D73" s="59"/>
      <c r="F73" s="68"/>
      <c r="G73" s="242" t="s">
        <v>177</v>
      </c>
      <c r="H73" s="242"/>
      <c r="I73" s="241" t="s">
        <v>66</v>
      </c>
      <c r="J73" s="241"/>
      <c r="K73" s="241"/>
      <c r="L73" s="241"/>
      <c r="M73" s="241"/>
      <c r="N73" s="241"/>
      <c r="O73" s="241"/>
      <c r="P73" s="241"/>
      <c r="Q73" s="241"/>
      <c r="R73" s="241"/>
      <c r="S73" s="243"/>
      <c r="T73" s="243"/>
      <c r="U73" s="243"/>
      <c r="V73" s="253"/>
      <c r="W73" s="253"/>
      <c r="X73" s="253"/>
      <c r="Y73" s="244">
        <f t="shared" si="2"/>
        <v>0</v>
      </c>
      <c r="Z73" s="244"/>
      <c r="AA73" s="244"/>
      <c r="AB73" s="34"/>
      <c r="AC73" s="266"/>
      <c r="AD73" s="266"/>
      <c r="AE73" s="266"/>
      <c r="AF73" s="266"/>
      <c r="AG73" s="266"/>
      <c r="AH73" s="266"/>
      <c r="AI73" s="266"/>
      <c r="AJ73" s="266"/>
      <c r="AK73" s="266"/>
      <c r="AL73" s="266"/>
      <c r="AM73" s="266"/>
      <c r="AN73" s="266"/>
      <c r="AO73" s="266"/>
      <c r="AP73" s="266"/>
      <c r="AQ73" s="266"/>
      <c r="AR73" s="266"/>
      <c r="AS73" s="257"/>
      <c r="AT73" s="258"/>
      <c r="AU73" s="258"/>
      <c r="AV73" s="258"/>
      <c r="AW73" s="259"/>
      <c r="AX73" s="34"/>
      <c r="AZ73" s="43"/>
      <c r="BB73" s="85">
        <v>12</v>
      </c>
      <c r="BC73" s="96"/>
      <c r="BD73" s="86">
        <f t="shared" si="0"/>
        <v>0</v>
      </c>
      <c r="BE73" s="89">
        <f t="shared" si="1"/>
        <v>0</v>
      </c>
      <c r="BG73" s="92"/>
      <c r="BH73" s="106"/>
    </row>
    <row r="74" spans="3:66" ht="11.1" customHeight="1" x14ac:dyDescent="0.2">
      <c r="C74" s="29"/>
      <c r="D74" s="59"/>
      <c r="F74" s="68"/>
      <c r="G74" s="242" t="s">
        <v>178</v>
      </c>
      <c r="H74" s="242"/>
      <c r="I74" s="241" t="s">
        <v>52</v>
      </c>
      <c r="J74" s="241"/>
      <c r="K74" s="241"/>
      <c r="L74" s="241"/>
      <c r="M74" s="241"/>
      <c r="N74" s="241"/>
      <c r="O74" s="241"/>
      <c r="P74" s="241"/>
      <c r="Q74" s="241"/>
      <c r="R74" s="241"/>
      <c r="S74" s="243"/>
      <c r="T74" s="243"/>
      <c r="U74" s="243"/>
      <c r="V74" s="253"/>
      <c r="W74" s="253"/>
      <c r="X74" s="253"/>
      <c r="Y74" s="244">
        <f t="shared" si="2"/>
        <v>0</v>
      </c>
      <c r="Z74" s="244"/>
      <c r="AA74" s="244"/>
      <c r="AB74" s="34"/>
      <c r="AC74" s="235" t="s">
        <v>148</v>
      </c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92"/>
      <c r="AT74" s="293"/>
      <c r="AU74" s="293"/>
      <c r="AV74" s="293"/>
      <c r="AW74" s="294"/>
      <c r="AX74" s="34"/>
      <c r="BB74" s="85">
        <v>13</v>
      </c>
      <c r="BC74" s="96"/>
      <c r="BD74" s="86">
        <f t="shared" si="0"/>
        <v>0</v>
      </c>
      <c r="BE74" s="89">
        <f t="shared" si="1"/>
        <v>0</v>
      </c>
    </row>
    <row r="75" spans="3:66" ht="11.1" customHeight="1" x14ac:dyDescent="0.2">
      <c r="C75" s="29"/>
      <c r="D75" s="59"/>
      <c r="F75" s="69"/>
      <c r="G75" s="242" t="s">
        <v>179</v>
      </c>
      <c r="H75" s="242"/>
      <c r="I75" s="241" t="s">
        <v>53</v>
      </c>
      <c r="J75" s="241"/>
      <c r="K75" s="241"/>
      <c r="L75" s="241"/>
      <c r="M75" s="241"/>
      <c r="N75" s="241"/>
      <c r="O75" s="241"/>
      <c r="P75" s="241"/>
      <c r="Q75" s="241"/>
      <c r="R75" s="241"/>
      <c r="S75" s="243"/>
      <c r="T75" s="243"/>
      <c r="U75" s="243"/>
      <c r="V75" s="253"/>
      <c r="W75" s="253"/>
      <c r="X75" s="253"/>
      <c r="Y75" s="244">
        <f t="shared" si="2"/>
        <v>0</v>
      </c>
      <c r="Z75" s="244"/>
      <c r="AA75" s="244"/>
      <c r="AB75" s="34"/>
      <c r="AC75" s="235" t="s">
        <v>149</v>
      </c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7">
        <f>IF(OR(BH59=0,SUM(V68:X87)=0,SUM(BC61:BC91)=0),0,CONCATENATE(TEXT(BH64,"0,00"),"% da ",BH62,"ª Etapa"))</f>
        <v>0</v>
      </c>
      <c r="AR75" s="248"/>
      <c r="AS75" s="248"/>
      <c r="AT75" s="248"/>
      <c r="AU75" s="248"/>
      <c r="AV75" s="248"/>
      <c r="AW75" s="249"/>
      <c r="AX75" s="34"/>
      <c r="BB75" s="85">
        <v>14</v>
      </c>
      <c r="BC75" s="96"/>
      <c r="BD75" s="86">
        <f t="shared" si="0"/>
        <v>0</v>
      </c>
      <c r="BE75" s="89">
        <f t="shared" si="1"/>
        <v>0</v>
      </c>
    </row>
    <row r="76" spans="3:66" ht="11.1" customHeight="1" x14ac:dyDescent="0.2">
      <c r="C76" s="29"/>
      <c r="D76" s="59"/>
      <c r="F76" s="69"/>
      <c r="G76" s="242" t="s">
        <v>180</v>
      </c>
      <c r="H76" s="242"/>
      <c r="I76" s="241" t="s">
        <v>62</v>
      </c>
      <c r="J76" s="241"/>
      <c r="K76" s="241"/>
      <c r="L76" s="241"/>
      <c r="M76" s="241"/>
      <c r="N76" s="241"/>
      <c r="O76" s="241"/>
      <c r="P76" s="241"/>
      <c r="Q76" s="241"/>
      <c r="R76" s="241"/>
      <c r="S76" s="243"/>
      <c r="T76" s="243"/>
      <c r="U76" s="243"/>
      <c r="V76" s="253"/>
      <c r="W76" s="253"/>
      <c r="X76" s="253"/>
      <c r="Y76" s="244">
        <f t="shared" si="2"/>
        <v>0</v>
      </c>
      <c r="Z76" s="244"/>
      <c r="AA76" s="244"/>
      <c r="AB76" s="34"/>
      <c r="AC76" s="305" t="s">
        <v>98</v>
      </c>
      <c r="AD76" s="306"/>
      <c r="AE76" s="306"/>
      <c r="AF76" s="306"/>
      <c r="AG76" s="306"/>
      <c r="AH76" s="306"/>
      <c r="AI76" s="306"/>
      <c r="AJ76" s="306"/>
      <c r="AK76" s="306"/>
      <c r="AL76" s="306"/>
      <c r="AM76" s="306"/>
      <c r="AN76" s="306"/>
      <c r="AO76" s="306"/>
      <c r="AP76" s="306"/>
      <c r="AQ76" s="306"/>
      <c r="AR76" s="306"/>
      <c r="AS76" s="307"/>
      <c r="AT76" s="307"/>
      <c r="AU76" s="307"/>
      <c r="AV76" s="307"/>
      <c r="AW76" s="308"/>
      <c r="AX76" s="34"/>
      <c r="BB76" s="85">
        <v>15</v>
      </c>
      <c r="BC76" s="96"/>
      <c r="BD76" s="86">
        <f t="shared" si="0"/>
        <v>0</v>
      </c>
      <c r="BE76" s="89">
        <f t="shared" si="1"/>
        <v>0</v>
      </c>
    </row>
    <row r="77" spans="3:66" ht="11.1" customHeight="1" x14ac:dyDescent="0.2">
      <c r="C77" s="29"/>
      <c r="D77" s="59"/>
      <c r="F77" s="69"/>
      <c r="G77" s="242" t="s">
        <v>181</v>
      </c>
      <c r="H77" s="242"/>
      <c r="I77" s="241" t="s">
        <v>54</v>
      </c>
      <c r="J77" s="241"/>
      <c r="K77" s="241"/>
      <c r="L77" s="241"/>
      <c r="M77" s="241"/>
      <c r="N77" s="241"/>
      <c r="O77" s="241"/>
      <c r="P77" s="241"/>
      <c r="Q77" s="241"/>
      <c r="R77" s="241"/>
      <c r="S77" s="243"/>
      <c r="T77" s="243"/>
      <c r="U77" s="243"/>
      <c r="V77" s="253"/>
      <c r="W77" s="253"/>
      <c r="X77" s="253"/>
      <c r="Y77" s="244">
        <f t="shared" si="2"/>
        <v>0</v>
      </c>
      <c r="Z77" s="244"/>
      <c r="AA77" s="244"/>
      <c r="AB77" s="34"/>
      <c r="AC77" s="296" t="s">
        <v>201</v>
      </c>
      <c r="AD77" s="297"/>
      <c r="AE77" s="297"/>
      <c r="AF77" s="297"/>
      <c r="AG77" s="297"/>
      <c r="AH77" s="297"/>
      <c r="AI77" s="297"/>
      <c r="AJ77" s="297"/>
      <c r="AK77" s="297"/>
      <c r="AL77" s="297"/>
      <c r="AM77" s="297"/>
      <c r="AN77" s="297"/>
      <c r="AO77" s="297"/>
      <c r="AP77" s="297"/>
      <c r="AQ77" s="297"/>
      <c r="AR77" s="297"/>
      <c r="AS77" s="297"/>
      <c r="AT77" s="297"/>
      <c r="AU77" s="297"/>
      <c r="AV77" s="297"/>
      <c r="AW77" s="298"/>
      <c r="AX77" s="34"/>
      <c r="BB77" s="85">
        <v>16</v>
      </c>
      <c r="BC77" s="96"/>
      <c r="BD77" s="86">
        <f t="shared" si="0"/>
        <v>0</v>
      </c>
      <c r="BE77" s="89">
        <f t="shared" si="1"/>
        <v>0</v>
      </c>
    </row>
    <row r="78" spans="3:66" ht="11.1" customHeight="1" x14ac:dyDescent="0.2">
      <c r="C78" s="29"/>
      <c r="D78" s="59"/>
      <c r="F78" s="69"/>
      <c r="G78" s="242" t="s">
        <v>182</v>
      </c>
      <c r="H78" s="242"/>
      <c r="I78" s="241" t="s">
        <v>64</v>
      </c>
      <c r="J78" s="241"/>
      <c r="K78" s="241"/>
      <c r="L78" s="241"/>
      <c r="M78" s="241"/>
      <c r="N78" s="241"/>
      <c r="O78" s="241"/>
      <c r="P78" s="241"/>
      <c r="Q78" s="241"/>
      <c r="R78" s="241"/>
      <c r="S78" s="243"/>
      <c r="T78" s="243"/>
      <c r="U78" s="243"/>
      <c r="V78" s="253"/>
      <c r="W78" s="253"/>
      <c r="X78" s="253"/>
      <c r="Y78" s="244">
        <f t="shared" si="2"/>
        <v>0</v>
      </c>
      <c r="Z78" s="244"/>
      <c r="AA78" s="244"/>
      <c r="AB78" s="34"/>
      <c r="AC78" s="299"/>
      <c r="AD78" s="300"/>
      <c r="AE78" s="300"/>
      <c r="AF78" s="300"/>
      <c r="AG78" s="300"/>
      <c r="AH78" s="300"/>
      <c r="AI78" s="300"/>
      <c r="AJ78" s="300"/>
      <c r="AK78" s="300"/>
      <c r="AL78" s="300"/>
      <c r="AM78" s="300"/>
      <c r="AN78" s="300"/>
      <c r="AO78" s="300"/>
      <c r="AP78" s="300"/>
      <c r="AQ78" s="300"/>
      <c r="AR78" s="300"/>
      <c r="AS78" s="300"/>
      <c r="AT78" s="300"/>
      <c r="AU78" s="300"/>
      <c r="AV78" s="300"/>
      <c r="AW78" s="301"/>
      <c r="AX78" s="34"/>
      <c r="BB78" s="85">
        <v>17</v>
      </c>
      <c r="BC78" s="96"/>
      <c r="BD78" s="86">
        <f t="shared" si="0"/>
        <v>0</v>
      </c>
      <c r="BE78" s="89">
        <f t="shared" si="1"/>
        <v>0</v>
      </c>
    </row>
    <row r="79" spans="3:66" ht="11.1" customHeight="1" x14ac:dyDescent="0.2">
      <c r="C79" s="29"/>
      <c r="D79" s="59"/>
      <c r="F79" s="69"/>
      <c r="G79" s="242" t="s">
        <v>183</v>
      </c>
      <c r="H79" s="242"/>
      <c r="I79" s="241" t="s">
        <v>55</v>
      </c>
      <c r="J79" s="241"/>
      <c r="K79" s="241"/>
      <c r="L79" s="241"/>
      <c r="M79" s="241"/>
      <c r="N79" s="241"/>
      <c r="O79" s="241"/>
      <c r="P79" s="241"/>
      <c r="Q79" s="241"/>
      <c r="R79" s="241"/>
      <c r="S79" s="243"/>
      <c r="T79" s="243"/>
      <c r="U79" s="243"/>
      <c r="V79" s="253"/>
      <c r="W79" s="253"/>
      <c r="X79" s="253"/>
      <c r="Y79" s="244">
        <f t="shared" si="2"/>
        <v>0</v>
      </c>
      <c r="Z79" s="244"/>
      <c r="AA79" s="244"/>
      <c r="AB79" s="34"/>
      <c r="AC79" s="299"/>
      <c r="AD79" s="300"/>
      <c r="AE79" s="300"/>
      <c r="AF79" s="300"/>
      <c r="AG79" s="300"/>
      <c r="AH79" s="300"/>
      <c r="AI79" s="300"/>
      <c r="AJ79" s="300"/>
      <c r="AK79" s="300"/>
      <c r="AL79" s="300"/>
      <c r="AM79" s="300"/>
      <c r="AN79" s="300"/>
      <c r="AO79" s="300"/>
      <c r="AP79" s="300"/>
      <c r="AQ79" s="300"/>
      <c r="AR79" s="300"/>
      <c r="AS79" s="300"/>
      <c r="AT79" s="300"/>
      <c r="AU79" s="300"/>
      <c r="AV79" s="300"/>
      <c r="AW79" s="301"/>
      <c r="AX79" s="34"/>
      <c r="BB79" s="85">
        <v>18</v>
      </c>
      <c r="BC79" s="96"/>
      <c r="BD79" s="86">
        <f t="shared" si="0"/>
        <v>0</v>
      </c>
      <c r="BE79" s="89">
        <f t="shared" si="1"/>
        <v>0</v>
      </c>
    </row>
    <row r="80" spans="3:66" ht="11.1" customHeight="1" x14ac:dyDescent="0.2">
      <c r="C80" s="29"/>
      <c r="D80" s="59"/>
      <c r="F80" s="69"/>
      <c r="G80" s="242" t="s">
        <v>184</v>
      </c>
      <c r="H80" s="242"/>
      <c r="I80" s="241" t="s">
        <v>56</v>
      </c>
      <c r="J80" s="241"/>
      <c r="K80" s="241"/>
      <c r="L80" s="241"/>
      <c r="M80" s="241"/>
      <c r="N80" s="241"/>
      <c r="O80" s="241"/>
      <c r="P80" s="241"/>
      <c r="Q80" s="241"/>
      <c r="R80" s="241"/>
      <c r="S80" s="243"/>
      <c r="T80" s="243"/>
      <c r="U80" s="243"/>
      <c r="V80" s="253"/>
      <c r="W80" s="253"/>
      <c r="X80" s="253"/>
      <c r="Y80" s="244">
        <f t="shared" si="2"/>
        <v>0</v>
      </c>
      <c r="Z80" s="244"/>
      <c r="AA80" s="244"/>
      <c r="AB80" s="34"/>
      <c r="AC80" s="299"/>
      <c r="AD80" s="300"/>
      <c r="AE80" s="300"/>
      <c r="AF80" s="300"/>
      <c r="AG80" s="300"/>
      <c r="AH80" s="300"/>
      <c r="AI80" s="300"/>
      <c r="AJ80" s="300"/>
      <c r="AK80" s="300"/>
      <c r="AL80" s="300"/>
      <c r="AM80" s="300"/>
      <c r="AN80" s="300"/>
      <c r="AO80" s="300"/>
      <c r="AP80" s="300"/>
      <c r="AQ80" s="300"/>
      <c r="AR80" s="300"/>
      <c r="AS80" s="300"/>
      <c r="AT80" s="300"/>
      <c r="AU80" s="300"/>
      <c r="AV80" s="300"/>
      <c r="AW80" s="301"/>
      <c r="AX80" s="34"/>
      <c r="BB80" s="85">
        <v>19</v>
      </c>
      <c r="BC80" s="96"/>
      <c r="BD80" s="86">
        <f t="shared" si="0"/>
        <v>0</v>
      </c>
      <c r="BE80" s="89">
        <f t="shared" si="1"/>
        <v>0</v>
      </c>
    </row>
    <row r="81" spans="1:62" ht="11.1" customHeight="1" x14ac:dyDescent="0.2">
      <c r="C81" s="29"/>
      <c r="D81" s="59"/>
      <c r="F81" s="69"/>
      <c r="G81" s="242" t="s">
        <v>185</v>
      </c>
      <c r="H81" s="242"/>
      <c r="I81" s="241" t="s">
        <v>57</v>
      </c>
      <c r="J81" s="241"/>
      <c r="K81" s="241"/>
      <c r="L81" s="241"/>
      <c r="M81" s="241"/>
      <c r="N81" s="241"/>
      <c r="O81" s="241"/>
      <c r="P81" s="241"/>
      <c r="Q81" s="241"/>
      <c r="R81" s="241"/>
      <c r="S81" s="243"/>
      <c r="T81" s="243"/>
      <c r="U81" s="243"/>
      <c r="V81" s="253"/>
      <c r="W81" s="253"/>
      <c r="X81" s="253"/>
      <c r="Y81" s="244">
        <f t="shared" si="2"/>
        <v>0</v>
      </c>
      <c r="Z81" s="244"/>
      <c r="AA81" s="244"/>
      <c r="AB81" s="34"/>
      <c r="AC81" s="299"/>
      <c r="AD81" s="300"/>
      <c r="AE81" s="300"/>
      <c r="AF81" s="300"/>
      <c r="AG81" s="300"/>
      <c r="AH81" s="300"/>
      <c r="AI81" s="300"/>
      <c r="AJ81" s="300"/>
      <c r="AK81" s="300"/>
      <c r="AL81" s="300"/>
      <c r="AM81" s="300"/>
      <c r="AN81" s="300"/>
      <c r="AO81" s="300"/>
      <c r="AP81" s="300"/>
      <c r="AQ81" s="300"/>
      <c r="AR81" s="300"/>
      <c r="AS81" s="300"/>
      <c r="AT81" s="300"/>
      <c r="AU81" s="300"/>
      <c r="AV81" s="300"/>
      <c r="AW81" s="301"/>
      <c r="AX81" s="34"/>
      <c r="BB81" s="85">
        <v>20</v>
      </c>
      <c r="BC81" s="96"/>
      <c r="BD81" s="86">
        <f t="shared" si="0"/>
        <v>0</v>
      </c>
      <c r="BE81" s="89">
        <f t="shared" si="1"/>
        <v>0</v>
      </c>
    </row>
    <row r="82" spans="1:62" ht="11.1" customHeight="1" x14ac:dyDescent="0.2">
      <c r="C82" s="29"/>
      <c r="D82" s="59"/>
      <c r="F82" s="68"/>
      <c r="G82" s="242" t="s">
        <v>186</v>
      </c>
      <c r="H82" s="242"/>
      <c r="I82" s="241" t="s">
        <v>68</v>
      </c>
      <c r="J82" s="241"/>
      <c r="K82" s="241"/>
      <c r="L82" s="241"/>
      <c r="M82" s="241"/>
      <c r="N82" s="241"/>
      <c r="O82" s="241"/>
      <c r="P82" s="241"/>
      <c r="Q82" s="241"/>
      <c r="R82" s="241"/>
      <c r="S82" s="243"/>
      <c r="T82" s="243"/>
      <c r="U82" s="243"/>
      <c r="V82" s="253"/>
      <c r="W82" s="253"/>
      <c r="X82" s="253"/>
      <c r="Y82" s="244">
        <f t="shared" si="2"/>
        <v>0</v>
      </c>
      <c r="Z82" s="244"/>
      <c r="AA82" s="244"/>
      <c r="AB82" s="34"/>
      <c r="AC82" s="299"/>
      <c r="AD82" s="300"/>
      <c r="AE82" s="300"/>
      <c r="AF82" s="300"/>
      <c r="AG82" s="300"/>
      <c r="AH82" s="300"/>
      <c r="AI82" s="300"/>
      <c r="AJ82" s="300"/>
      <c r="AK82" s="300"/>
      <c r="AL82" s="300"/>
      <c r="AM82" s="300"/>
      <c r="AN82" s="300"/>
      <c r="AO82" s="300"/>
      <c r="AP82" s="300"/>
      <c r="AQ82" s="300"/>
      <c r="AR82" s="300"/>
      <c r="AS82" s="300"/>
      <c r="AT82" s="300"/>
      <c r="AU82" s="300"/>
      <c r="AV82" s="300"/>
      <c r="AW82" s="301"/>
      <c r="AX82" s="34"/>
      <c r="BB82" s="85">
        <v>21</v>
      </c>
      <c r="BC82" s="96"/>
      <c r="BD82" s="86">
        <f t="shared" si="0"/>
        <v>0</v>
      </c>
      <c r="BE82" s="89">
        <f t="shared" si="1"/>
        <v>0</v>
      </c>
      <c r="BJ82" s="99"/>
    </row>
    <row r="83" spans="1:62" ht="11.1" customHeight="1" x14ac:dyDescent="0.2">
      <c r="C83" s="29"/>
      <c r="D83" s="59"/>
      <c r="F83" s="68"/>
      <c r="G83" s="242" t="s">
        <v>187</v>
      </c>
      <c r="H83" s="242"/>
      <c r="I83" s="241" t="s">
        <v>70</v>
      </c>
      <c r="J83" s="241"/>
      <c r="K83" s="241"/>
      <c r="L83" s="241"/>
      <c r="M83" s="241"/>
      <c r="N83" s="241"/>
      <c r="O83" s="241"/>
      <c r="P83" s="241"/>
      <c r="Q83" s="241"/>
      <c r="R83" s="241"/>
      <c r="S83" s="243"/>
      <c r="T83" s="243"/>
      <c r="U83" s="243"/>
      <c r="V83" s="253"/>
      <c r="W83" s="253"/>
      <c r="X83" s="253"/>
      <c r="Y83" s="244">
        <f t="shared" si="2"/>
        <v>0</v>
      </c>
      <c r="Z83" s="244"/>
      <c r="AA83" s="244"/>
      <c r="AC83" s="299"/>
      <c r="AD83" s="300"/>
      <c r="AE83" s="300"/>
      <c r="AF83" s="300"/>
      <c r="AG83" s="300"/>
      <c r="AH83" s="300"/>
      <c r="AI83" s="300"/>
      <c r="AJ83" s="300"/>
      <c r="AK83" s="300"/>
      <c r="AL83" s="300"/>
      <c r="AM83" s="300"/>
      <c r="AN83" s="300"/>
      <c r="AO83" s="300"/>
      <c r="AP83" s="300"/>
      <c r="AQ83" s="300"/>
      <c r="AR83" s="300"/>
      <c r="AS83" s="300"/>
      <c r="AT83" s="300"/>
      <c r="AU83" s="300"/>
      <c r="AV83" s="300"/>
      <c r="AW83" s="301"/>
      <c r="BB83" s="85">
        <v>22</v>
      </c>
      <c r="BC83" s="96"/>
      <c r="BD83" s="86">
        <f t="shared" si="0"/>
        <v>0</v>
      </c>
      <c r="BE83" s="89">
        <f t="shared" si="1"/>
        <v>0</v>
      </c>
      <c r="BG83" s="98"/>
    </row>
    <row r="84" spans="1:62" ht="11.1" customHeight="1" x14ac:dyDescent="0.2">
      <c r="C84" s="29"/>
      <c r="D84" s="59"/>
      <c r="F84" s="69"/>
      <c r="G84" s="242" t="s">
        <v>188</v>
      </c>
      <c r="H84" s="242"/>
      <c r="I84" s="241" t="s">
        <v>67</v>
      </c>
      <c r="J84" s="241"/>
      <c r="K84" s="241"/>
      <c r="L84" s="241"/>
      <c r="M84" s="241"/>
      <c r="N84" s="241"/>
      <c r="O84" s="241"/>
      <c r="P84" s="241"/>
      <c r="Q84" s="241"/>
      <c r="R84" s="241"/>
      <c r="S84" s="243"/>
      <c r="T84" s="243"/>
      <c r="U84" s="243"/>
      <c r="V84" s="253"/>
      <c r="W84" s="253"/>
      <c r="X84" s="253"/>
      <c r="Y84" s="244">
        <f t="shared" si="2"/>
        <v>0</v>
      </c>
      <c r="Z84" s="244"/>
      <c r="AA84" s="244"/>
      <c r="AB84" s="34"/>
      <c r="AC84" s="299"/>
      <c r="AD84" s="300"/>
      <c r="AE84" s="300"/>
      <c r="AF84" s="300"/>
      <c r="AG84" s="300"/>
      <c r="AH84" s="300"/>
      <c r="AI84" s="300"/>
      <c r="AJ84" s="300"/>
      <c r="AK84" s="300"/>
      <c r="AL84" s="300"/>
      <c r="AM84" s="300"/>
      <c r="AN84" s="300"/>
      <c r="AO84" s="300"/>
      <c r="AP84" s="300"/>
      <c r="AQ84" s="300"/>
      <c r="AR84" s="300"/>
      <c r="AS84" s="300"/>
      <c r="AT84" s="300"/>
      <c r="AU84" s="300"/>
      <c r="AV84" s="300"/>
      <c r="AW84" s="301"/>
      <c r="BB84" s="85">
        <v>23</v>
      </c>
      <c r="BC84" s="96"/>
      <c r="BD84" s="86">
        <f t="shared" si="0"/>
        <v>0</v>
      </c>
      <c r="BE84" s="89">
        <f t="shared" si="1"/>
        <v>0</v>
      </c>
      <c r="BG84" s="98"/>
    </row>
    <row r="85" spans="1:62" ht="11.1" customHeight="1" x14ac:dyDescent="0.2">
      <c r="C85" s="29"/>
      <c r="D85" s="59"/>
      <c r="F85" s="69"/>
      <c r="G85" s="242" t="s">
        <v>189</v>
      </c>
      <c r="H85" s="242"/>
      <c r="I85" s="241" t="s">
        <v>69</v>
      </c>
      <c r="J85" s="241"/>
      <c r="K85" s="241"/>
      <c r="L85" s="241"/>
      <c r="M85" s="241"/>
      <c r="N85" s="241"/>
      <c r="O85" s="241"/>
      <c r="P85" s="241"/>
      <c r="Q85" s="241"/>
      <c r="R85" s="241"/>
      <c r="S85" s="243"/>
      <c r="T85" s="243"/>
      <c r="U85" s="243"/>
      <c r="V85" s="253"/>
      <c r="W85" s="253"/>
      <c r="X85" s="253"/>
      <c r="Y85" s="244">
        <f t="shared" si="2"/>
        <v>0</v>
      </c>
      <c r="Z85" s="244"/>
      <c r="AA85" s="244"/>
      <c r="AB85" s="34"/>
      <c r="AC85" s="299"/>
      <c r="AD85" s="300"/>
      <c r="AE85" s="300"/>
      <c r="AF85" s="300"/>
      <c r="AG85" s="300"/>
      <c r="AH85" s="300"/>
      <c r="AI85" s="300"/>
      <c r="AJ85" s="300"/>
      <c r="AK85" s="300"/>
      <c r="AL85" s="300"/>
      <c r="AM85" s="300"/>
      <c r="AN85" s="300"/>
      <c r="AO85" s="300"/>
      <c r="AP85" s="300"/>
      <c r="AQ85" s="300"/>
      <c r="AR85" s="300"/>
      <c r="AS85" s="300"/>
      <c r="AT85" s="300"/>
      <c r="AU85" s="300"/>
      <c r="AV85" s="300"/>
      <c r="AW85" s="301"/>
      <c r="BB85" s="85">
        <v>24</v>
      </c>
      <c r="BC85" s="96"/>
      <c r="BD85" s="86">
        <f t="shared" si="0"/>
        <v>0</v>
      </c>
      <c r="BE85" s="89">
        <f t="shared" si="1"/>
        <v>0</v>
      </c>
      <c r="BG85" s="98"/>
    </row>
    <row r="86" spans="1:62" ht="11.1" customHeight="1" x14ac:dyDescent="0.2">
      <c r="C86" s="29"/>
      <c r="D86" s="59"/>
      <c r="F86" s="69"/>
      <c r="G86" s="242" t="s">
        <v>190</v>
      </c>
      <c r="H86" s="242"/>
      <c r="I86" s="241" t="s">
        <v>58</v>
      </c>
      <c r="J86" s="241"/>
      <c r="K86" s="241"/>
      <c r="L86" s="241"/>
      <c r="M86" s="241"/>
      <c r="N86" s="241"/>
      <c r="O86" s="241"/>
      <c r="P86" s="241"/>
      <c r="Q86" s="241"/>
      <c r="R86" s="241"/>
      <c r="S86" s="243"/>
      <c r="T86" s="243"/>
      <c r="U86" s="243"/>
      <c r="V86" s="253"/>
      <c r="W86" s="253"/>
      <c r="X86" s="253"/>
      <c r="Y86" s="244">
        <f t="shared" si="2"/>
        <v>0</v>
      </c>
      <c r="Z86" s="244"/>
      <c r="AA86" s="244"/>
      <c r="AB86" s="34"/>
      <c r="AC86" s="299"/>
      <c r="AD86" s="300"/>
      <c r="AE86" s="300"/>
      <c r="AF86" s="300"/>
      <c r="AG86" s="300"/>
      <c r="AH86" s="300"/>
      <c r="AI86" s="300"/>
      <c r="AJ86" s="300"/>
      <c r="AK86" s="300"/>
      <c r="AL86" s="300"/>
      <c r="AM86" s="300"/>
      <c r="AN86" s="300"/>
      <c r="AO86" s="300"/>
      <c r="AP86" s="300"/>
      <c r="AQ86" s="300"/>
      <c r="AR86" s="300"/>
      <c r="AS86" s="300"/>
      <c r="AT86" s="300"/>
      <c r="AU86" s="300"/>
      <c r="AV86" s="300"/>
      <c r="AW86" s="301"/>
      <c r="BB86" s="85">
        <v>25</v>
      </c>
      <c r="BC86" s="96"/>
      <c r="BD86" s="86">
        <f t="shared" si="0"/>
        <v>0</v>
      </c>
      <c r="BE86" s="89">
        <f t="shared" si="1"/>
        <v>0</v>
      </c>
      <c r="BG86" s="98"/>
    </row>
    <row r="87" spans="1:62" ht="11.1" customHeight="1" x14ac:dyDescent="0.2">
      <c r="C87" s="29"/>
      <c r="D87" s="59"/>
      <c r="F87" s="69"/>
      <c r="G87" s="262" t="s">
        <v>191</v>
      </c>
      <c r="H87" s="262"/>
      <c r="I87" s="260" t="s">
        <v>71</v>
      </c>
      <c r="J87" s="260"/>
      <c r="K87" s="260"/>
      <c r="L87" s="260"/>
      <c r="M87" s="260"/>
      <c r="N87" s="260"/>
      <c r="O87" s="260"/>
      <c r="P87" s="260"/>
      <c r="Q87" s="260"/>
      <c r="R87" s="260"/>
      <c r="S87" s="264"/>
      <c r="T87" s="264"/>
      <c r="U87" s="264"/>
      <c r="V87" s="263"/>
      <c r="W87" s="263"/>
      <c r="X87" s="263"/>
      <c r="Y87" s="245">
        <f t="shared" si="2"/>
        <v>0</v>
      </c>
      <c r="Z87" s="245"/>
      <c r="AA87" s="245"/>
      <c r="AB87" s="34"/>
      <c r="AC87" s="302"/>
      <c r="AD87" s="303"/>
      <c r="AE87" s="303"/>
      <c r="AF87" s="303"/>
      <c r="AG87" s="303"/>
      <c r="AH87" s="303"/>
      <c r="AI87" s="303"/>
      <c r="AJ87" s="303"/>
      <c r="AK87" s="303"/>
      <c r="AL87" s="303"/>
      <c r="AM87" s="303"/>
      <c r="AN87" s="303"/>
      <c r="AO87" s="303"/>
      <c r="AP87" s="303"/>
      <c r="AQ87" s="303"/>
      <c r="AR87" s="303"/>
      <c r="AS87" s="303"/>
      <c r="AT87" s="303"/>
      <c r="AU87" s="303"/>
      <c r="AV87" s="303"/>
      <c r="AW87" s="304"/>
      <c r="BB87" s="85">
        <v>26</v>
      </c>
      <c r="BC87" s="96"/>
      <c r="BD87" s="86">
        <f t="shared" si="0"/>
        <v>0</v>
      </c>
      <c r="BE87" s="89">
        <f t="shared" si="1"/>
        <v>0</v>
      </c>
    </row>
    <row r="88" spans="1:62" ht="11.1" customHeight="1" x14ac:dyDescent="0.2">
      <c r="C88" s="29"/>
      <c r="D88" s="59"/>
      <c r="F88" s="69"/>
      <c r="G88" s="312" t="s">
        <v>192</v>
      </c>
      <c r="H88" s="312"/>
      <c r="I88" s="325" t="s">
        <v>84</v>
      </c>
      <c r="J88" s="325"/>
      <c r="K88" s="325"/>
      <c r="L88" s="325"/>
      <c r="M88" s="325"/>
      <c r="N88" s="325"/>
      <c r="O88" s="325"/>
      <c r="P88" s="325"/>
      <c r="Q88" s="325"/>
      <c r="R88" s="326"/>
      <c r="S88" s="261">
        <f>SUM(S68:U87)</f>
        <v>0</v>
      </c>
      <c r="T88" s="261"/>
      <c r="U88" s="261"/>
      <c r="V88" s="313"/>
      <c r="W88" s="313"/>
      <c r="X88" s="313"/>
      <c r="Y88" s="323">
        <f>SUM(Y68:AA87)</f>
        <v>0</v>
      </c>
      <c r="Z88" s="324"/>
      <c r="AA88" s="324"/>
      <c r="AB88" s="34"/>
      <c r="AC88" s="338">
        <f>IF(OR(AS74="",AS74=0),0,IF((BH61-BH62)&gt;2,"OBRA EM ATRASO - O CRONOGRAMA NECESSITA DE REPROGRAMAÇÃO",""))</f>
        <v>0</v>
      </c>
      <c r="AD88" s="339"/>
      <c r="AE88" s="339"/>
      <c r="AF88" s="339"/>
      <c r="AG88" s="339"/>
      <c r="AH88" s="339"/>
      <c r="AI88" s="339"/>
      <c r="AJ88" s="339"/>
      <c r="AK88" s="339"/>
      <c r="AL88" s="339"/>
      <c r="AM88" s="339"/>
      <c r="AN88" s="339"/>
      <c r="AO88" s="339"/>
      <c r="AP88" s="339"/>
      <c r="AQ88" s="339"/>
      <c r="AR88" s="339"/>
      <c r="AS88" s="339"/>
      <c r="AT88" s="339"/>
      <c r="AU88" s="339"/>
      <c r="AV88" s="339"/>
      <c r="AW88" s="340"/>
      <c r="BB88" s="85">
        <v>27</v>
      </c>
      <c r="BC88" s="96"/>
      <c r="BD88" s="86">
        <f t="shared" si="0"/>
        <v>0</v>
      </c>
      <c r="BE88" s="89">
        <f t="shared" si="1"/>
        <v>0</v>
      </c>
      <c r="BG88" s="101"/>
    </row>
    <row r="89" spans="1:62" ht="11.1" customHeight="1" x14ac:dyDescent="0.2">
      <c r="C89" s="29"/>
      <c r="D89" s="59"/>
      <c r="F89" s="69"/>
      <c r="G89" s="311" t="s">
        <v>96</v>
      </c>
      <c r="H89" s="328"/>
      <c r="I89" s="331" t="s">
        <v>85</v>
      </c>
      <c r="J89" s="331"/>
      <c r="K89" s="331"/>
      <c r="L89" s="331"/>
      <c r="M89" s="331"/>
      <c r="N89" s="331"/>
      <c r="O89" s="331"/>
      <c r="P89" s="331"/>
      <c r="Q89" s="331"/>
      <c r="R89" s="332"/>
      <c r="S89" s="313"/>
      <c r="T89" s="313"/>
      <c r="U89" s="313"/>
      <c r="V89" s="329"/>
      <c r="W89" s="330"/>
      <c r="X89" s="330"/>
      <c r="Y89" s="250"/>
      <c r="Z89" s="251"/>
      <c r="AA89" s="251"/>
      <c r="AB89" s="34"/>
      <c r="AC89" s="341"/>
      <c r="AD89" s="342"/>
      <c r="AE89" s="342"/>
      <c r="AF89" s="342"/>
      <c r="AG89" s="342"/>
      <c r="AH89" s="342"/>
      <c r="AI89" s="342"/>
      <c r="AJ89" s="342"/>
      <c r="AK89" s="342"/>
      <c r="AL89" s="342"/>
      <c r="AM89" s="342"/>
      <c r="AN89" s="342"/>
      <c r="AO89" s="342"/>
      <c r="AP89" s="342"/>
      <c r="AQ89" s="342"/>
      <c r="AR89" s="342"/>
      <c r="AS89" s="342"/>
      <c r="AT89" s="342"/>
      <c r="AU89" s="342"/>
      <c r="AV89" s="342"/>
      <c r="AW89" s="343"/>
      <c r="BB89" s="85">
        <v>28</v>
      </c>
      <c r="BC89" s="96"/>
      <c r="BD89" s="86">
        <f>BC89+BD88</f>
        <v>0</v>
      </c>
      <c r="BE89" s="89">
        <f t="shared" si="1"/>
        <v>0</v>
      </c>
      <c r="BG89" s="88"/>
    </row>
    <row r="90" spans="1:62" ht="11.1" customHeight="1" x14ac:dyDescent="0.2">
      <c r="C90" s="29"/>
      <c r="D90" s="59"/>
      <c r="F90" s="69"/>
      <c r="G90" s="328"/>
      <c r="H90" s="328"/>
      <c r="I90" s="333"/>
      <c r="J90" s="331"/>
      <c r="K90" s="331"/>
      <c r="L90" s="331"/>
      <c r="M90" s="331"/>
      <c r="N90" s="331"/>
      <c r="O90" s="331"/>
      <c r="P90" s="331"/>
      <c r="Q90" s="331"/>
      <c r="R90" s="332"/>
      <c r="S90" s="313"/>
      <c r="T90" s="313"/>
      <c r="U90" s="313"/>
      <c r="V90" s="330"/>
      <c r="W90" s="330"/>
      <c r="X90" s="330"/>
      <c r="Y90" s="252"/>
      <c r="Z90" s="251"/>
      <c r="AA90" s="251"/>
      <c r="AB90" s="34"/>
      <c r="AC90" s="341"/>
      <c r="AD90" s="342"/>
      <c r="AE90" s="342"/>
      <c r="AF90" s="342"/>
      <c r="AG90" s="342"/>
      <c r="AH90" s="342"/>
      <c r="AI90" s="342"/>
      <c r="AJ90" s="342"/>
      <c r="AK90" s="342"/>
      <c r="AL90" s="342"/>
      <c r="AM90" s="342"/>
      <c r="AN90" s="342"/>
      <c r="AO90" s="342"/>
      <c r="AP90" s="342"/>
      <c r="AQ90" s="342"/>
      <c r="AR90" s="342"/>
      <c r="AS90" s="342"/>
      <c r="AT90" s="342"/>
      <c r="AU90" s="342"/>
      <c r="AV90" s="342"/>
      <c r="AW90" s="343"/>
      <c r="BB90" s="85">
        <v>29</v>
      </c>
      <c r="BC90" s="96"/>
      <c r="BD90" s="86">
        <f>BC90+BD89</f>
        <v>0</v>
      </c>
      <c r="BE90" s="89">
        <f t="shared" si="1"/>
        <v>0</v>
      </c>
      <c r="BG90" s="100"/>
    </row>
    <row r="91" spans="1:62" ht="11.1" customHeight="1" x14ac:dyDescent="0.2">
      <c r="C91" s="29"/>
      <c r="D91" s="59"/>
      <c r="F91" s="69"/>
      <c r="G91" s="311" t="s">
        <v>97</v>
      </c>
      <c r="H91" s="311"/>
      <c r="I91" s="331" t="s">
        <v>86</v>
      </c>
      <c r="J91" s="331"/>
      <c r="K91" s="331"/>
      <c r="L91" s="331"/>
      <c r="M91" s="331"/>
      <c r="N91" s="331"/>
      <c r="O91" s="331"/>
      <c r="P91" s="331"/>
      <c r="Q91" s="331"/>
      <c r="R91" s="332"/>
      <c r="S91" s="313"/>
      <c r="T91" s="313"/>
      <c r="U91" s="313"/>
      <c r="V91" s="313"/>
      <c r="W91" s="313"/>
      <c r="X91" s="313"/>
      <c r="Y91" s="323">
        <f>Y88-Y89</f>
        <v>0</v>
      </c>
      <c r="Z91" s="324"/>
      <c r="AA91" s="324"/>
      <c r="AB91" s="34"/>
      <c r="AC91" s="341"/>
      <c r="AD91" s="342"/>
      <c r="AE91" s="342"/>
      <c r="AF91" s="342"/>
      <c r="AG91" s="342"/>
      <c r="AH91" s="342"/>
      <c r="AI91" s="342"/>
      <c r="AJ91" s="342"/>
      <c r="AK91" s="342"/>
      <c r="AL91" s="342"/>
      <c r="AM91" s="342"/>
      <c r="AN91" s="342"/>
      <c r="AO91" s="342"/>
      <c r="AP91" s="342"/>
      <c r="AQ91" s="342"/>
      <c r="AR91" s="342"/>
      <c r="AS91" s="342"/>
      <c r="AT91" s="342"/>
      <c r="AU91" s="342"/>
      <c r="AV91" s="342"/>
      <c r="AW91" s="343"/>
      <c r="BB91" s="85">
        <v>30</v>
      </c>
      <c r="BC91" s="96"/>
      <c r="BD91" s="86">
        <f>BC91+BD90</f>
        <v>0</v>
      </c>
      <c r="BE91" s="89">
        <f t="shared" si="1"/>
        <v>0</v>
      </c>
    </row>
    <row r="92" spans="1:62" ht="11.1" customHeight="1" x14ac:dyDescent="0.2">
      <c r="C92" s="29"/>
      <c r="D92" s="59"/>
      <c r="F92" s="69"/>
      <c r="G92" s="133" t="s">
        <v>193</v>
      </c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13"/>
      <c r="AT92" s="114"/>
      <c r="AU92" s="114"/>
      <c r="AV92" s="114"/>
      <c r="AW92" s="115"/>
      <c r="BB92" s="109"/>
      <c r="BC92" s="110"/>
      <c r="BD92" s="111"/>
      <c r="BE92" s="112"/>
    </row>
    <row r="93" spans="1:62" ht="3.95" customHeight="1" x14ac:dyDescent="0.2">
      <c r="C93" s="29"/>
      <c r="D93" s="59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2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Y93" s="34"/>
      <c r="BC93" s="90">
        <f>SUM(BC61:BC91)</f>
        <v>0</v>
      </c>
    </row>
    <row r="94" spans="1:62" ht="11.1" customHeight="1" thickBot="1" x14ac:dyDescent="0.25">
      <c r="A94" s="66"/>
      <c r="B94" s="66"/>
      <c r="C94" s="66"/>
      <c r="D94" s="22"/>
      <c r="E94" s="19"/>
      <c r="F94" s="82"/>
      <c r="G94" s="83" t="s">
        <v>160</v>
      </c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4"/>
      <c r="AZ94" s="43"/>
      <c r="BG94" s="101"/>
    </row>
    <row r="95" spans="1:62" ht="3.95" customHeight="1" x14ac:dyDescent="0.2">
      <c r="C95" s="29"/>
      <c r="D95" s="59"/>
      <c r="E95" s="5" t="s">
        <v>13</v>
      </c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18"/>
      <c r="AK95" s="55"/>
      <c r="AL95" s="55"/>
      <c r="AM95" s="55"/>
      <c r="AN95" s="55"/>
      <c r="AO95" s="55"/>
      <c r="AP95" s="55"/>
      <c r="AY95" s="34"/>
    </row>
    <row r="96" spans="1:62" ht="11.1" customHeight="1" x14ac:dyDescent="0.2">
      <c r="C96" s="29"/>
      <c r="D96" s="59"/>
      <c r="F96" s="69"/>
      <c r="G96" s="116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  <c r="AA96" s="118"/>
      <c r="AB96" s="44"/>
      <c r="AC96" s="116"/>
      <c r="AD96" s="117"/>
      <c r="AE96" s="117"/>
      <c r="AF96" s="117"/>
      <c r="AG96" s="117"/>
      <c r="AH96" s="117"/>
      <c r="AI96" s="117"/>
      <c r="AJ96" s="117"/>
      <c r="AK96" s="117"/>
      <c r="AL96" s="117"/>
      <c r="AM96" s="117"/>
      <c r="AN96" s="117"/>
      <c r="AO96" s="117"/>
      <c r="AP96" s="117"/>
      <c r="AQ96" s="117"/>
      <c r="AR96" s="117"/>
      <c r="AS96" s="117"/>
      <c r="AT96" s="117"/>
      <c r="AU96" s="117"/>
      <c r="AV96" s="117"/>
      <c r="AW96" s="118"/>
      <c r="AY96" s="34"/>
      <c r="BG96" s="101"/>
      <c r="BJ96" s="99"/>
    </row>
    <row r="97" spans="3:59" ht="11.1" customHeight="1" x14ac:dyDescent="0.2">
      <c r="C97" s="29"/>
      <c r="D97" s="59"/>
      <c r="F97" s="69"/>
      <c r="G97" s="119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1"/>
      <c r="AB97" s="44"/>
      <c r="AC97" s="119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1"/>
      <c r="AY97" s="34"/>
      <c r="BG97" s="101"/>
    </row>
    <row r="98" spans="3:59" ht="11.1" customHeight="1" x14ac:dyDescent="0.2">
      <c r="C98" s="29"/>
      <c r="D98" s="59"/>
      <c r="F98" s="69"/>
      <c r="G98" s="119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1"/>
      <c r="AB98" s="44"/>
      <c r="AC98" s="119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1"/>
      <c r="AY98" s="34"/>
      <c r="BG98" s="101"/>
    </row>
    <row r="99" spans="3:59" ht="11.1" customHeight="1" x14ac:dyDescent="0.2">
      <c r="C99" s="29"/>
      <c r="D99" s="59"/>
      <c r="F99" s="69"/>
      <c r="G99" s="119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1"/>
      <c r="AB99" s="44"/>
      <c r="AC99" s="119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1"/>
      <c r="AY99" s="34"/>
    </row>
    <row r="100" spans="3:59" ht="11.1" customHeight="1" x14ac:dyDescent="0.2">
      <c r="C100" s="29"/>
      <c r="D100" s="59"/>
      <c r="F100" s="69"/>
      <c r="G100" s="119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1"/>
      <c r="AB100" s="44"/>
      <c r="AC100" s="119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1"/>
      <c r="AY100" s="34"/>
      <c r="BG100" s="98"/>
    </row>
    <row r="101" spans="3:59" ht="11.1" customHeight="1" x14ac:dyDescent="0.2">
      <c r="C101" s="29"/>
      <c r="D101" s="59"/>
      <c r="F101" s="69"/>
      <c r="G101" s="119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1"/>
      <c r="AB101" s="44"/>
      <c r="AC101" s="119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1"/>
      <c r="AY101" s="34"/>
      <c r="BB101" s="98"/>
      <c r="BG101" s="98"/>
    </row>
    <row r="102" spans="3:59" ht="11.1" customHeight="1" x14ac:dyDescent="0.2">
      <c r="C102" s="29"/>
      <c r="D102" s="59"/>
      <c r="F102" s="69"/>
      <c r="G102" s="119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1"/>
      <c r="AB102" s="44"/>
      <c r="AC102" s="119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1"/>
      <c r="AY102" s="34"/>
      <c r="BG102" s="100"/>
    </row>
    <row r="103" spans="3:59" ht="11.1" customHeight="1" x14ac:dyDescent="0.2">
      <c r="C103" s="29"/>
      <c r="D103" s="59"/>
      <c r="F103" s="69"/>
      <c r="G103" s="119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1"/>
      <c r="AB103" s="44"/>
      <c r="AC103" s="119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1"/>
      <c r="AY103" s="34"/>
    </row>
    <row r="104" spans="3:59" ht="11.1" customHeight="1" x14ac:dyDescent="0.2">
      <c r="C104" s="29"/>
      <c r="D104" s="59"/>
      <c r="F104" s="69"/>
      <c r="G104" s="119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1"/>
      <c r="AB104" s="44"/>
      <c r="AC104" s="119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1"/>
      <c r="AY104" s="34"/>
    </row>
    <row r="105" spans="3:59" ht="11.1" customHeight="1" x14ac:dyDescent="0.2">
      <c r="C105" s="29"/>
      <c r="D105" s="59"/>
      <c r="F105" s="69"/>
      <c r="G105" s="119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1"/>
      <c r="AB105" s="44"/>
      <c r="AC105" s="119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1"/>
      <c r="AY105" s="34"/>
    </row>
    <row r="106" spans="3:59" ht="11.1" customHeight="1" x14ac:dyDescent="0.2">
      <c r="C106" s="29"/>
      <c r="D106" s="59"/>
      <c r="F106" s="69"/>
      <c r="G106" s="119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1"/>
      <c r="AB106" s="44"/>
      <c r="AC106" s="119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1"/>
      <c r="AY106" s="34"/>
    </row>
    <row r="107" spans="3:59" ht="11.1" customHeight="1" x14ac:dyDescent="0.2">
      <c r="C107" s="29"/>
      <c r="D107" s="59"/>
      <c r="F107" s="69"/>
      <c r="G107" s="119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1"/>
      <c r="AB107" s="44"/>
      <c r="AC107" s="119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1"/>
      <c r="AY107" s="34"/>
    </row>
    <row r="108" spans="3:59" ht="11.1" customHeight="1" x14ac:dyDescent="0.2">
      <c r="C108" s="29"/>
      <c r="D108" s="59"/>
      <c r="F108" s="69"/>
      <c r="G108" s="119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1"/>
      <c r="AB108" s="44"/>
      <c r="AC108" s="119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1"/>
      <c r="AY108" s="34"/>
    </row>
    <row r="109" spans="3:59" ht="11.1" customHeight="1" x14ac:dyDescent="0.2">
      <c r="C109" s="29"/>
      <c r="D109" s="59"/>
      <c r="F109" s="69"/>
      <c r="G109" s="119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1"/>
      <c r="AB109" s="44"/>
      <c r="AC109" s="119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1"/>
      <c r="AY109" s="34"/>
    </row>
    <row r="110" spans="3:59" ht="11.1" customHeight="1" x14ac:dyDescent="0.2">
      <c r="C110" s="29"/>
      <c r="D110" s="59"/>
      <c r="F110" s="69"/>
      <c r="G110" s="119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1"/>
      <c r="AB110" s="44"/>
      <c r="AC110" s="119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1"/>
      <c r="AY110" s="34"/>
    </row>
    <row r="111" spans="3:59" ht="11.1" customHeight="1" x14ac:dyDescent="0.2">
      <c r="C111" s="29"/>
      <c r="D111" s="59"/>
      <c r="F111" s="69"/>
      <c r="G111" s="122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4"/>
      <c r="AB111" s="44"/>
      <c r="AC111" s="122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4"/>
      <c r="AY111" s="34"/>
    </row>
    <row r="112" spans="3:59" ht="11.1" customHeight="1" x14ac:dyDescent="0.2">
      <c r="C112" s="29"/>
      <c r="D112" s="59"/>
      <c r="F112" s="69"/>
      <c r="G112" s="116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8"/>
      <c r="AB112" s="44"/>
      <c r="AC112" s="116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8"/>
      <c r="AY112" s="34"/>
    </row>
    <row r="113" spans="3:51" ht="11.1" customHeight="1" x14ac:dyDescent="0.2">
      <c r="C113" s="29"/>
      <c r="D113" s="59"/>
      <c r="F113" s="69"/>
      <c r="G113" s="119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1"/>
      <c r="AB113" s="44"/>
      <c r="AC113" s="119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1"/>
      <c r="AY113" s="34"/>
    </row>
    <row r="114" spans="3:51" ht="11.1" customHeight="1" x14ac:dyDescent="0.2">
      <c r="C114" s="29"/>
      <c r="D114" s="59"/>
      <c r="F114" s="69"/>
      <c r="G114" s="119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1"/>
      <c r="AB114" s="44"/>
      <c r="AC114" s="119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1"/>
      <c r="AY114" s="34"/>
    </row>
    <row r="115" spans="3:51" ht="11.1" customHeight="1" x14ac:dyDescent="0.2">
      <c r="C115" s="29"/>
      <c r="D115" s="59"/>
      <c r="F115" s="69"/>
      <c r="G115" s="119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1"/>
      <c r="AB115" s="44"/>
      <c r="AC115" s="119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1"/>
      <c r="AY115" s="34"/>
    </row>
    <row r="116" spans="3:51" ht="11.1" customHeight="1" x14ac:dyDescent="0.2">
      <c r="C116" s="29"/>
      <c r="D116" s="59"/>
      <c r="F116" s="69"/>
      <c r="G116" s="119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1"/>
      <c r="AB116" s="44"/>
      <c r="AC116" s="119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1"/>
      <c r="AY116" s="34"/>
    </row>
    <row r="117" spans="3:51" ht="11.1" customHeight="1" x14ac:dyDescent="0.2">
      <c r="C117" s="29"/>
      <c r="D117" s="59"/>
      <c r="F117" s="69"/>
      <c r="G117" s="119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1"/>
      <c r="AB117" s="44"/>
      <c r="AC117" s="119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1"/>
      <c r="AY117" s="34"/>
    </row>
    <row r="118" spans="3:51" ht="11.1" customHeight="1" x14ac:dyDescent="0.2">
      <c r="C118" s="29"/>
      <c r="D118" s="59"/>
      <c r="F118" s="69"/>
      <c r="G118" s="119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1"/>
      <c r="AB118" s="44"/>
      <c r="AC118" s="119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1"/>
      <c r="AY118" s="34"/>
    </row>
    <row r="119" spans="3:51" ht="11.1" customHeight="1" x14ac:dyDescent="0.2">
      <c r="C119" s="29"/>
      <c r="D119" s="59"/>
      <c r="F119" s="69"/>
      <c r="G119" s="119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1"/>
      <c r="AB119" s="44"/>
      <c r="AC119" s="119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1"/>
      <c r="AY119" s="34"/>
    </row>
    <row r="120" spans="3:51" ht="11.1" customHeight="1" x14ac:dyDescent="0.2">
      <c r="C120" s="29"/>
      <c r="D120" s="59"/>
      <c r="F120" s="69"/>
      <c r="G120" s="119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1"/>
      <c r="AB120" s="44"/>
      <c r="AC120" s="119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1"/>
      <c r="AY120" s="34"/>
    </row>
    <row r="121" spans="3:51" ht="11.1" customHeight="1" x14ac:dyDescent="0.2">
      <c r="C121" s="29"/>
      <c r="D121" s="59"/>
      <c r="F121" s="69"/>
      <c r="G121" s="119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1"/>
      <c r="AB121" s="44"/>
      <c r="AC121" s="119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1"/>
      <c r="AY121" s="34"/>
    </row>
    <row r="122" spans="3:51" ht="11.1" customHeight="1" x14ac:dyDescent="0.2">
      <c r="C122" s="29"/>
      <c r="D122" s="59"/>
      <c r="F122" s="69"/>
      <c r="G122" s="119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1"/>
      <c r="AB122" s="44"/>
      <c r="AC122" s="119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1"/>
      <c r="AY122" s="34"/>
    </row>
    <row r="123" spans="3:51" ht="11.1" customHeight="1" x14ac:dyDescent="0.2">
      <c r="C123" s="29"/>
      <c r="D123" s="59"/>
      <c r="F123" s="69"/>
      <c r="G123" s="119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1"/>
      <c r="AB123" s="44"/>
      <c r="AC123" s="119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1"/>
      <c r="AY123" s="34"/>
    </row>
    <row r="124" spans="3:51" ht="11.1" customHeight="1" x14ac:dyDescent="0.2">
      <c r="C124" s="29"/>
      <c r="D124" s="59"/>
      <c r="F124" s="69"/>
      <c r="G124" s="119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1"/>
      <c r="AB124" s="44"/>
      <c r="AC124" s="119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1"/>
      <c r="AY124" s="34"/>
    </row>
    <row r="125" spans="3:51" ht="11.1" customHeight="1" x14ac:dyDescent="0.2">
      <c r="C125" s="29"/>
      <c r="D125" s="59"/>
      <c r="F125" s="69"/>
      <c r="G125" s="119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1"/>
      <c r="AB125" s="44"/>
      <c r="AC125" s="119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1"/>
      <c r="AY125" s="34"/>
    </row>
    <row r="126" spans="3:51" ht="11.1" customHeight="1" x14ac:dyDescent="0.2">
      <c r="C126" s="29"/>
      <c r="D126" s="59"/>
      <c r="F126" s="69"/>
      <c r="G126" s="119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1"/>
      <c r="AB126" s="44"/>
      <c r="AC126" s="119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1"/>
      <c r="AY126" s="34"/>
    </row>
    <row r="127" spans="3:51" ht="11.1" customHeight="1" x14ac:dyDescent="0.2">
      <c r="C127" s="29"/>
      <c r="D127" s="59"/>
      <c r="F127" s="69"/>
      <c r="G127" s="122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4"/>
      <c r="AB127" s="44"/>
      <c r="AC127" s="122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4"/>
      <c r="AY127" s="34"/>
    </row>
    <row r="128" spans="3:51" ht="11.1" customHeight="1" x14ac:dyDescent="0.2">
      <c r="C128" s="29"/>
      <c r="D128" s="59"/>
      <c r="F128" s="69"/>
      <c r="G128" s="116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8"/>
      <c r="AB128" s="44"/>
      <c r="AC128" s="116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125"/>
      <c r="AN128" s="125"/>
      <c r="AO128" s="125"/>
      <c r="AP128" s="125"/>
      <c r="AQ128" s="125"/>
      <c r="AR128" s="125"/>
      <c r="AS128" s="125"/>
      <c r="AT128" s="125"/>
      <c r="AU128" s="125"/>
      <c r="AV128" s="125"/>
      <c r="AW128" s="126"/>
      <c r="AY128" s="34"/>
    </row>
    <row r="129" spans="3:51" ht="11.1" customHeight="1" x14ac:dyDescent="0.2">
      <c r="C129" s="29"/>
      <c r="D129" s="59"/>
      <c r="F129" s="69"/>
      <c r="G129" s="119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1"/>
      <c r="AB129" s="44"/>
      <c r="AC129" s="127"/>
      <c r="AD129" s="128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  <c r="AT129" s="128"/>
      <c r="AU129" s="128"/>
      <c r="AV129" s="128"/>
      <c r="AW129" s="129"/>
      <c r="AY129" s="34"/>
    </row>
    <row r="130" spans="3:51" ht="11.1" customHeight="1" x14ac:dyDescent="0.2">
      <c r="C130" s="29"/>
      <c r="D130" s="59"/>
      <c r="F130" s="69"/>
      <c r="G130" s="119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1"/>
      <c r="AB130" s="44"/>
      <c r="AC130" s="127"/>
      <c r="AD130" s="128"/>
      <c r="AE130" s="128"/>
      <c r="AF130" s="128"/>
      <c r="AG130" s="128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  <c r="AT130" s="128"/>
      <c r="AU130" s="128"/>
      <c r="AV130" s="128"/>
      <c r="AW130" s="129"/>
      <c r="AY130" s="34"/>
    </row>
    <row r="131" spans="3:51" ht="11.1" customHeight="1" x14ac:dyDescent="0.2">
      <c r="C131" s="29"/>
      <c r="D131" s="59"/>
      <c r="F131" s="69"/>
      <c r="G131" s="119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1"/>
      <c r="AB131" s="44"/>
      <c r="AC131" s="127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  <c r="AT131" s="128"/>
      <c r="AU131" s="128"/>
      <c r="AV131" s="128"/>
      <c r="AW131" s="129"/>
      <c r="AY131" s="34"/>
    </row>
    <row r="132" spans="3:51" ht="11.1" customHeight="1" x14ac:dyDescent="0.2">
      <c r="C132" s="29"/>
      <c r="D132" s="59"/>
      <c r="F132" s="69"/>
      <c r="G132" s="119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1"/>
      <c r="AB132" s="44"/>
      <c r="AC132" s="127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  <c r="AT132" s="128"/>
      <c r="AU132" s="128"/>
      <c r="AV132" s="128"/>
      <c r="AW132" s="129"/>
      <c r="AY132" s="34"/>
    </row>
    <row r="133" spans="3:51" ht="11.1" customHeight="1" x14ac:dyDescent="0.2">
      <c r="C133" s="29"/>
      <c r="D133" s="59"/>
      <c r="F133" s="69"/>
      <c r="G133" s="119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1"/>
      <c r="AB133" s="44"/>
      <c r="AC133" s="127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9"/>
      <c r="AY133" s="34"/>
    </row>
    <row r="134" spans="3:51" ht="11.1" customHeight="1" x14ac:dyDescent="0.2">
      <c r="C134" s="29"/>
      <c r="D134" s="59"/>
      <c r="F134" s="69"/>
      <c r="G134" s="119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1"/>
      <c r="AB134" s="44"/>
      <c r="AC134" s="127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9"/>
      <c r="AY134" s="34"/>
    </row>
    <row r="135" spans="3:51" ht="11.1" customHeight="1" x14ac:dyDescent="0.2">
      <c r="C135" s="29"/>
      <c r="D135" s="59"/>
      <c r="F135" s="69"/>
      <c r="G135" s="119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1"/>
      <c r="AB135" s="44"/>
      <c r="AC135" s="127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9"/>
      <c r="AY135" s="34"/>
    </row>
    <row r="136" spans="3:51" ht="11.1" customHeight="1" x14ac:dyDescent="0.2">
      <c r="C136" s="29"/>
      <c r="D136" s="59"/>
      <c r="F136" s="69"/>
      <c r="G136" s="119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1"/>
      <c r="AB136" s="44"/>
      <c r="AC136" s="127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9"/>
      <c r="AY136" s="34"/>
    </row>
    <row r="137" spans="3:51" ht="11.1" customHeight="1" x14ac:dyDescent="0.2">
      <c r="C137" s="29"/>
      <c r="D137" s="59"/>
      <c r="F137" s="69"/>
      <c r="G137" s="119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1"/>
      <c r="AB137" s="44"/>
      <c r="AC137" s="127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9"/>
      <c r="AY137" s="34"/>
    </row>
    <row r="138" spans="3:51" ht="11.1" customHeight="1" x14ac:dyDescent="0.2">
      <c r="C138" s="29"/>
      <c r="D138" s="59"/>
      <c r="F138" s="69"/>
      <c r="G138" s="119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1"/>
      <c r="AB138" s="44"/>
      <c r="AC138" s="127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9"/>
      <c r="AY138" s="34"/>
    </row>
    <row r="139" spans="3:51" ht="11.1" customHeight="1" x14ac:dyDescent="0.2">
      <c r="C139" s="29"/>
      <c r="D139" s="59"/>
      <c r="F139" s="69"/>
      <c r="G139" s="119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1"/>
      <c r="AB139" s="44"/>
      <c r="AC139" s="127"/>
      <c r="AD139" s="128"/>
      <c r="AE139" s="128"/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9"/>
      <c r="AY139" s="34"/>
    </row>
    <row r="140" spans="3:51" ht="11.1" customHeight="1" x14ac:dyDescent="0.2">
      <c r="C140" s="29"/>
      <c r="D140" s="59"/>
      <c r="F140" s="69"/>
      <c r="G140" s="119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1"/>
      <c r="AB140" s="44"/>
      <c r="AC140" s="127"/>
      <c r="AD140" s="128"/>
      <c r="AE140" s="128"/>
      <c r="AF140" s="128"/>
      <c r="AG140" s="12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  <c r="AT140" s="128"/>
      <c r="AU140" s="128"/>
      <c r="AV140" s="128"/>
      <c r="AW140" s="129"/>
      <c r="AY140" s="34"/>
    </row>
    <row r="141" spans="3:51" ht="11.1" customHeight="1" x14ac:dyDescent="0.2">
      <c r="C141" s="29"/>
      <c r="D141" s="59"/>
      <c r="F141" s="69"/>
      <c r="G141" s="119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1"/>
      <c r="AB141" s="44"/>
      <c r="AC141" s="127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9"/>
      <c r="AY141" s="34"/>
    </row>
    <row r="142" spans="3:51" ht="11.1" customHeight="1" x14ac:dyDescent="0.2">
      <c r="C142" s="29"/>
      <c r="D142" s="59"/>
      <c r="F142" s="69"/>
      <c r="G142" s="119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1"/>
      <c r="AB142" s="44"/>
      <c r="AC142" s="127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9"/>
      <c r="AY142" s="34"/>
    </row>
    <row r="143" spans="3:51" ht="11.1" customHeight="1" x14ac:dyDescent="0.2">
      <c r="C143" s="29"/>
      <c r="D143" s="59"/>
      <c r="F143" s="69"/>
      <c r="G143" s="122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4"/>
      <c r="AB143" s="44"/>
      <c r="AC143" s="130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2"/>
      <c r="AY143" s="34"/>
    </row>
    <row r="144" spans="3:51" ht="3.95" customHeight="1" x14ac:dyDescent="0.2">
      <c r="C144" s="29"/>
      <c r="D144" s="59"/>
      <c r="E144" s="5" t="s">
        <v>13</v>
      </c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18"/>
      <c r="AK144" s="55"/>
      <c r="AL144" s="55"/>
      <c r="AM144" s="55"/>
      <c r="AN144" s="55"/>
      <c r="AO144" s="55"/>
      <c r="AP144" s="55"/>
      <c r="AY144" s="34"/>
    </row>
    <row r="145" spans="3:62" ht="11.1" customHeight="1" x14ac:dyDescent="0.2">
      <c r="C145" s="29"/>
      <c r="D145" s="59"/>
      <c r="F145" s="69"/>
      <c r="G145" s="116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8"/>
      <c r="AB145" s="44"/>
      <c r="AC145" s="116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17"/>
      <c r="AO145" s="117"/>
      <c r="AP145" s="117"/>
      <c r="AQ145" s="117"/>
      <c r="AR145" s="117"/>
      <c r="AS145" s="117"/>
      <c r="AT145" s="117"/>
      <c r="AU145" s="117"/>
      <c r="AV145" s="117"/>
      <c r="AW145" s="118"/>
      <c r="AY145" s="34"/>
      <c r="BG145" s="101"/>
      <c r="BJ145" s="99"/>
    </row>
    <row r="146" spans="3:62" ht="11.1" customHeight="1" x14ac:dyDescent="0.2">
      <c r="C146" s="29"/>
      <c r="D146" s="59"/>
      <c r="F146" s="69"/>
      <c r="G146" s="119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1"/>
      <c r="AB146" s="44"/>
      <c r="AC146" s="119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1"/>
      <c r="AY146" s="34"/>
      <c r="BG146" s="101"/>
    </row>
    <row r="147" spans="3:62" ht="11.1" customHeight="1" x14ac:dyDescent="0.2">
      <c r="C147" s="29"/>
      <c r="D147" s="59"/>
      <c r="F147" s="69"/>
      <c r="G147" s="119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1"/>
      <c r="AB147" s="44"/>
      <c r="AC147" s="119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1"/>
      <c r="AY147" s="34"/>
      <c r="BG147" s="101"/>
    </row>
    <row r="148" spans="3:62" ht="11.1" customHeight="1" x14ac:dyDescent="0.2">
      <c r="C148" s="29"/>
      <c r="D148" s="59"/>
      <c r="F148" s="69"/>
      <c r="G148" s="119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1"/>
      <c r="AB148" s="44"/>
      <c r="AC148" s="119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1"/>
      <c r="AY148" s="34"/>
    </row>
    <row r="149" spans="3:62" ht="11.1" customHeight="1" x14ac:dyDescent="0.2">
      <c r="C149" s="29"/>
      <c r="D149" s="59"/>
      <c r="F149" s="69"/>
      <c r="G149" s="119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1"/>
      <c r="AB149" s="44"/>
      <c r="AC149" s="119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1"/>
      <c r="AY149" s="34"/>
      <c r="BG149" s="98"/>
    </row>
    <row r="150" spans="3:62" ht="11.1" customHeight="1" x14ac:dyDescent="0.2">
      <c r="C150" s="29"/>
      <c r="D150" s="59"/>
      <c r="F150" s="69"/>
      <c r="G150" s="119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1"/>
      <c r="AB150" s="44"/>
      <c r="AC150" s="119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1"/>
      <c r="AY150" s="34"/>
      <c r="BB150" s="98"/>
      <c r="BG150" s="98"/>
    </row>
    <row r="151" spans="3:62" ht="11.1" customHeight="1" x14ac:dyDescent="0.2">
      <c r="C151" s="29"/>
      <c r="D151" s="59"/>
      <c r="F151" s="69"/>
      <c r="G151" s="119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1"/>
      <c r="AB151" s="44"/>
      <c r="AC151" s="119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1"/>
      <c r="AY151" s="34"/>
      <c r="BG151" s="100"/>
    </row>
    <row r="152" spans="3:62" ht="11.1" customHeight="1" x14ac:dyDescent="0.2">
      <c r="C152" s="29"/>
      <c r="D152" s="59"/>
      <c r="F152" s="69"/>
      <c r="G152" s="119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1"/>
      <c r="AB152" s="44"/>
      <c r="AC152" s="119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1"/>
      <c r="AY152" s="34"/>
    </row>
    <row r="153" spans="3:62" ht="11.1" customHeight="1" x14ac:dyDescent="0.2">
      <c r="C153" s="29"/>
      <c r="D153" s="59"/>
      <c r="F153" s="69"/>
      <c r="G153" s="119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1"/>
      <c r="AB153" s="44"/>
      <c r="AC153" s="119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1"/>
      <c r="AY153" s="34"/>
    </row>
    <row r="154" spans="3:62" ht="11.1" customHeight="1" x14ac:dyDescent="0.2">
      <c r="C154" s="29"/>
      <c r="D154" s="59"/>
      <c r="F154" s="69"/>
      <c r="G154" s="119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1"/>
      <c r="AB154" s="44"/>
      <c r="AC154" s="119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1"/>
      <c r="AY154" s="34"/>
    </row>
    <row r="155" spans="3:62" ht="11.1" customHeight="1" x14ac:dyDescent="0.2">
      <c r="C155" s="29"/>
      <c r="D155" s="59"/>
      <c r="F155" s="69"/>
      <c r="G155" s="119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1"/>
      <c r="AB155" s="44"/>
      <c r="AC155" s="119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1"/>
      <c r="AY155" s="34"/>
    </row>
    <row r="156" spans="3:62" ht="11.1" customHeight="1" x14ac:dyDescent="0.2">
      <c r="C156" s="29"/>
      <c r="D156" s="59"/>
      <c r="F156" s="69"/>
      <c r="G156" s="119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1"/>
      <c r="AB156" s="44"/>
      <c r="AC156" s="119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1"/>
      <c r="AY156" s="34"/>
    </row>
    <row r="157" spans="3:62" ht="11.1" customHeight="1" x14ac:dyDescent="0.2">
      <c r="C157" s="29"/>
      <c r="D157" s="59"/>
      <c r="F157" s="69"/>
      <c r="G157" s="119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1"/>
      <c r="AB157" s="44"/>
      <c r="AC157" s="119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1"/>
      <c r="AY157" s="34"/>
    </row>
    <row r="158" spans="3:62" ht="11.1" customHeight="1" x14ac:dyDescent="0.2">
      <c r="C158" s="29"/>
      <c r="D158" s="59"/>
      <c r="F158" s="69"/>
      <c r="G158" s="119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1"/>
      <c r="AB158" s="44"/>
      <c r="AC158" s="119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1"/>
      <c r="AY158" s="34"/>
    </row>
    <row r="159" spans="3:62" ht="11.1" customHeight="1" x14ac:dyDescent="0.2">
      <c r="C159" s="29"/>
      <c r="D159" s="59"/>
      <c r="F159" s="69"/>
      <c r="G159" s="119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1"/>
      <c r="AB159" s="44"/>
      <c r="AC159" s="119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1"/>
      <c r="AY159" s="34"/>
    </row>
    <row r="160" spans="3:62" ht="11.1" customHeight="1" x14ac:dyDescent="0.2">
      <c r="C160" s="29"/>
      <c r="D160" s="59"/>
      <c r="F160" s="69"/>
      <c r="G160" s="122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4"/>
      <c r="AB160" s="44"/>
      <c r="AC160" s="122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4"/>
      <c r="AY160" s="34"/>
    </row>
    <row r="161" spans="3:51" ht="11.1" customHeight="1" x14ac:dyDescent="0.2">
      <c r="C161" s="29"/>
      <c r="D161" s="59"/>
      <c r="F161" s="69"/>
      <c r="G161" s="116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8"/>
      <c r="AB161" s="44"/>
      <c r="AC161" s="116"/>
      <c r="AD161" s="117"/>
      <c r="AE161" s="117"/>
      <c r="AF161" s="117"/>
      <c r="AG161" s="117"/>
      <c r="AH161" s="117"/>
      <c r="AI161" s="117"/>
      <c r="AJ161" s="117"/>
      <c r="AK161" s="117"/>
      <c r="AL161" s="117"/>
      <c r="AM161" s="117"/>
      <c r="AN161" s="117"/>
      <c r="AO161" s="117"/>
      <c r="AP161" s="117"/>
      <c r="AQ161" s="117"/>
      <c r="AR161" s="117"/>
      <c r="AS161" s="117"/>
      <c r="AT161" s="117"/>
      <c r="AU161" s="117"/>
      <c r="AV161" s="117"/>
      <c r="AW161" s="118"/>
      <c r="AY161" s="34"/>
    </row>
    <row r="162" spans="3:51" ht="11.1" customHeight="1" x14ac:dyDescent="0.2">
      <c r="C162" s="29"/>
      <c r="D162" s="59"/>
      <c r="F162" s="69"/>
      <c r="G162" s="119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1"/>
      <c r="AB162" s="44"/>
      <c r="AC162" s="119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1"/>
      <c r="AY162" s="34"/>
    </row>
    <row r="163" spans="3:51" ht="11.1" customHeight="1" x14ac:dyDescent="0.2">
      <c r="C163" s="29"/>
      <c r="D163" s="59"/>
      <c r="F163" s="69"/>
      <c r="G163" s="119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1"/>
      <c r="AB163" s="44"/>
      <c r="AC163" s="119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1"/>
      <c r="AY163" s="34"/>
    </row>
    <row r="164" spans="3:51" ht="11.1" customHeight="1" x14ac:dyDescent="0.2">
      <c r="C164" s="29"/>
      <c r="D164" s="59"/>
      <c r="F164" s="69"/>
      <c r="G164" s="119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1"/>
      <c r="AB164" s="44"/>
      <c r="AC164" s="119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1"/>
      <c r="AY164" s="34"/>
    </row>
    <row r="165" spans="3:51" ht="11.1" customHeight="1" x14ac:dyDescent="0.2">
      <c r="C165" s="29"/>
      <c r="D165" s="59"/>
      <c r="F165" s="69"/>
      <c r="G165" s="119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1"/>
      <c r="AB165" s="44"/>
      <c r="AC165" s="119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1"/>
      <c r="AY165" s="34"/>
    </row>
    <row r="166" spans="3:51" ht="11.1" customHeight="1" x14ac:dyDescent="0.2">
      <c r="C166" s="29"/>
      <c r="D166" s="59"/>
      <c r="F166" s="69"/>
      <c r="G166" s="119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1"/>
      <c r="AB166" s="44"/>
      <c r="AC166" s="119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1"/>
      <c r="AY166" s="34"/>
    </row>
    <row r="167" spans="3:51" ht="11.1" customHeight="1" x14ac:dyDescent="0.2">
      <c r="C167" s="29"/>
      <c r="D167" s="59"/>
      <c r="F167" s="69"/>
      <c r="G167" s="119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1"/>
      <c r="AB167" s="44"/>
      <c r="AC167" s="119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1"/>
      <c r="AY167" s="34"/>
    </row>
    <row r="168" spans="3:51" ht="11.1" customHeight="1" x14ac:dyDescent="0.2">
      <c r="C168" s="29"/>
      <c r="D168" s="59"/>
      <c r="F168" s="69"/>
      <c r="G168" s="119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1"/>
      <c r="AB168" s="44"/>
      <c r="AC168" s="119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1"/>
      <c r="AY168" s="34"/>
    </row>
    <row r="169" spans="3:51" ht="11.1" customHeight="1" x14ac:dyDescent="0.2">
      <c r="C169" s="29"/>
      <c r="D169" s="59"/>
      <c r="F169" s="69"/>
      <c r="G169" s="119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1"/>
      <c r="AB169" s="44"/>
      <c r="AC169" s="119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1"/>
      <c r="AY169" s="34"/>
    </row>
    <row r="170" spans="3:51" ht="11.1" customHeight="1" x14ac:dyDescent="0.2">
      <c r="C170" s="29"/>
      <c r="D170" s="59"/>
      <c r="F170" s="69"/>
      <c r="G170" s="119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1"/>
      <c r="AB170" s="44"/>
      <c r="AC170" s="119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1"/>
      <c r="AY170" s="34"/>
    </row>
    <row r="171" spans="3:51" ht="11.1" customHeight="1" x14ac:dyDescent="0.2">
      <c r="C171" s="29"/>
      <c r="D171" s="59"/>
      <c r="F171" s="69"/>
      <c r="G171" s="119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1"/>
      <c r="AB171" s="44"/>
      <c r="AC171" s="119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1"/>
      <c r="AY171" s="34"/>
    </row>
    <row r="172" spans="3:51" ht="11.1" customHeight="1" x14ac:dyDescent="0.2">
      <c r="C172" s="29"/>
      <c r="D172" s="59"/>
      <c r="F172" s="69"/>
      <c r="G172" s="119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1"/>
      <c r="AB172" s="44"/>
      <c r="AC172" s="119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1"/>
      <c r="AY172" s="34"/>
    </row>
    <row r="173" spans="3:51" ht="11.1" customHeight="1" x14ac:dyDescent="0.2">
      <c r="C173" s="29"/>
      <c r="D173" s="59"/>
      <c r="F173" s="69"/>
      <c r="G173" s="119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1"/>
      <c r="AB173" s="44"/>
      <c r="AC173" s="119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1"/>
      <c r="AY173" s="34"/>
    </row>
    <row r="174" spans="3:51" ht="11.1" customHeight="1" x14ac:dyDescent="0.2">
      <c r="C174" s="29"/>
      <c r="D174" s="59"/>
      <c r="F174" s="69"/>
      <c r="G174" s="119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1"/>
      <c r="AB174" s="44"/>
      <c r="AC174" s="119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1"/>
      <c r="AY174" s="34"/>
    </row>
    <row r="175" spans="3:51" ht="11.1" customHeight="1" x14ac:dyDescent="0.2">
      <c r="C175" s="29"/>
      <c r="D175" s="59"/>
      <c r="F175" s="69"/>
      <c r="G175" s="119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1"/>
      <c r="AB175" s="44"/>
      <c r="AC175" s="119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1"/>
      <c r="AY175" s="34"/>
    </row>
    <row r="176" spans="3:51" ht="11.1" customHeight="1" x14ac:dyDescent="0.2">
      <c r="C176" s="29"/>
      <c r="D176" s="59"/>
      <c r="F176" s="69"/>
      <c r="G176" s="122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4"/>
      <c r="AB176" s="44"/>
      <c r="AC176" s="122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4"/>
      <c r="AY176" s="34"/>
    </row>
    <row r="177" spans="3:51" ht="11.1" customHeight="1" x14ac:dyDescent="0.2">
      <c r="C177" s="29"/>
      <c r="D177" s="59"/>
      <c r="F177" s="69"/>
      <c r="G177" s="116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8"/>
      <c r="AB177" s="44"/>
      <c r="AC177" s="116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125"/>
      <c r="AN177" s="125"/>
      <c r="AO177" s="125"/>
      <c r="AP177" s="125"/>
      <c r="AQ177" s="125"/>
      <c r="AR177" s="125"/>
      <c r="AS177" s="125"/>
      <c r="AT177" s="125"/>
      <c r="AU177" s="125"/>
      <c r="AV177" s="125"/>
      <c r="AW177" s="126"/>
      <c r="AY177" s="34"/>
    </row>
    <row r="178" spans="3:51" ht="11.1" customHeight="1" x14ac:dyDescent="0.2">
      <c r="C178" s="29"/>
      <c r="D178" s="59"/>
      <c r="F178" s="69"/>
      <c r="G178" s="119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1"/>
      <c r="AB178" s="44"/>
      <c r="AC178" s="127"/>
      <c r="AD178" s="128"/>
      <c r="AE178" s="128"/>
      <c r="AF178" s="128"/>
      <c r="AG178" s="128"/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  <c r="AT178" s="128"/>
      <c r="AU178" s="128"/>
      <c r="AV178" s="128"/>
      <c r="AW178" s="129"/>
      <c r="AY178" s="34"/>
    </row>
    <row r="179" spans="3:51" ht="11.1" customHeight="1" x14ac:dyDescent="0.2">
      <c r="C179" s="29"/>
      <c r="D179" s="59"/>
      <c r="F179" s="69"/>
      <c r="G179" s="119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1"/>
      <c r="AB179" s="44"/>
      <c r="AC179" s="127"/>
      <c r="AD179" s="128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  <c r="AT179" s="128"/>
      <c r="AU179" s="128"/>
      <c r="AV179" s="128"/>
      <c r="AW179" s="129"/>
      <c r="AY179" s="34"/>
    </row>
    <row r="180" spans="3:51" ht="11.1" customHeight="1" x14ac:dyDescent="0.2">
      <c r="C180" s="29"/>
      <c r="D180" s="59"/>
      <c r="F180" s="69"/>
      <c r="G180" s="119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1"/>
      <c r="AB180" s="44"/>
      <c r="AC180" s="127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  <c r="AT180" s="128"/>
      <c r="AU180" s="128"/>
      <c r="AV180" s="128"/>
      <c r="AW180" s="129"/>
      <c r="AY180" s="34"/>
    </row>
    <row r="181" spans="3:51" ht="11.1" customHeight="1" x14ac:dyDescent="0.2">
      <c r="C181" s="29"/>
      <c r="D181" s="59"/>
      <c r="F181" s="69"/>
      <c r="G181" s="119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1"/>
      <c r="AB181" s="44"/>
      <c r="AC181" s="127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9"/>
      <c r="AY181" s="34"/>
    </row>
    <row r="182" spans="3:51" ht="11.1" customHeight="1" x14ac:dyDescent="0.2">
      <c r="C182" s="29"/>
      <c r="D182" s="59"/>
      <c r="F182" s="69"/>
      <c r="G182" s="119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1"/>
      <c r="AB182" s="44"/>
      <c r="AC182" s="127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9"/>
      <c r="AY182" s="34"/>
    </row>
    <row r="183" spans="3:51" ht="11.1" customHeight="1" x14ac:dyDescent="0.2">
      <c r="C183" s="29"/>
      <c r="D183" s="59"/>
      <c r="F183" s="69"/>
      <c r="G183" s="119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1"/>
      <c r="AB183" s="44"/>
      <c r="AC183" s="127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9"/>
      <c r="AY183" s="34"/>
    </row>
    <row r="184" spans="3:51" ht="11.1" customHeight="1" x14ac:dyDescent="0.2">
      <c r="C184" s="29"/>
      <c r="D184" s="59"/>
      <c r="F184" s="69"/>
      <c r="G184" s="119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1"/>
      <c r="AB184" s="44"/>
      <c r="AC184" s="127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9"/>
      <c r="AY184" s="34"/>
    </row>
    <row r="185" spans="3:51" ht="11.1" customHeight="1" x14ac:dyDescent="0.2">
      <c r="C185" s="29"/>
      <c r="D185" s="59"/>
      <c r="F185" s="69"/>
      <c r="G185" s="119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1"/>
      <c r="AB185" s="44"/>
      <c r="AC185" s="127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9"/>
      <c r="AY185" s="34"/>
    </row>
    <row r="186" spans="3:51" ht="11.1" customHeight="1" x14ac:dyDescent="0.2">
      <c r="C186" s="29"/>
      <c r="D186" s="59"/>
      <c r="F186" s="69"/>
      <c r="G186" s="119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1"/>
      <c r="AB186" s="44"/>
      <c r="AC186" s="127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9"/>
      <c r="AY186" s="34"/>
    </row>
    <row r="187" spans="3:51" ht="11.1" customHeight="1" x14ac:dyDescent="0.2">
      <c r="C187" s="29"/>
      <c r="D187" s="59"/>
      <c r="F187" s="69"/>
      <c r="G187" s="119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1"/>
      <c r="AB187" s="44"/>
      <c r="AC187" s="127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9"/>
      <c r="AY187" s="34"/>
    </row>
    <row r="188" spans="3:51" ht="11.1" customHeight="1" x14ac:dyDescent="0.2">
      <c r="C188" s="29"/>
      <c r="D188" s="59"/>
      <c r="F188" s="69"/>
      <c r="G188" s="119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1"/>
      <c r="AB188" s="44"/>
      <c r="AC188" s="127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9"/>
      <c r="AY188" s="34"/>
    </row>
    <row r="189" spans="3:51" ht="11.1" customHeight="1" x14ac:dyDescent="0.2">
      <c r="C189" s="29"/>
      <c r="D189" s="59"/>
      <c r="F189" s="69"/>
      <c r="G189" s="119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1"/>
      <c r="AB189" s="44"/>
      <c r="AC189" s="127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9"/>
      <c r="AY189" s="34"/>
    </row>
    <row r="190" spans="3:51" ht="11.1" customHeight="1" x14ac:dyDescent="0.2">
      <c r="C190" s="29"/>
      <c r="D190" s="59"/>
      <c r="F190" s="69"/>
      <c r="G190" s="119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1"/>
      <c r="AB190" s="44"/>
      <c r="AC190" s="127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9"/>
      <c r="AY190" s="34"/>
    </row>
    <row r="191" spans="3:51" ht="11.1" customHeight="1" x14ac:dyDescent="0.2">
      <c r="C191" s="29"/>
      <c r="D191" s="59"/>
      <c r="F191" s="69"/>
      <c r="G191" s="119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1"/>
      <c r="AB191" s="44"/>
      <c r="AC191" s="127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9"/>
      <c r="AY191" s="34"/>
    </row>
    <row r="192" spans="3:51" ht="11.1" customHeight="1" x14ac:dyDescent="0.2">
      <c r="C192" s="29"/>
      <c r="D192" s="59"/>
      <c r="F192" s="69"/>
      <c r="G192" s="122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4"/>
      <c r="AB192" s="44"/>
      <c r="AC192" s="130"/>
      <c r="AD192" s="131"/>
      <c r="AE192" s="131"/>
      <c r="AF192" s="131"/>
      <c r="AG192" s="131"/>
      <c r="AH192" s="131"/>
      <c r="AI192" s="131"/>
      <c r="AJ192" s="131"/>
      <c r="AK192" s="131"/>
      <c r="AL192" s="131"/>
      <c r="AM192" s="131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2"/>
      <c r="AY192" s="34"/>
    </row>
    <row r="193" spans="1:62" ht="3.95" customHeight="1" x14ac:dyDescent="0.2">
      <c r="D193" s="42"/>
      <c r="F193" s="69"/>
    </row>
    <row r="194" spans="1:62" ht="6" customHeight="1" x14ac:dyDescent="0.2">
      <c r="D194" s="42"/>
      <c r="G194" s="26"/>
      <c r="H194" s="27"/>
      <c r="AB194" s="70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1:62" ht="12" customHeight="1" x14ac:dyDescent="0.2">
      <c r="C195" s="29"/>
      <c r="D195" s="59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BB195" s="34"/>
      <c r="BC195" s="34"/>
      <c r="BD195" s="34"/>
      <c r="BE195" s="43"/>
      <c r="BF195" s="43"/>
      <c r="BG195" s="43"/>
      <c r="BH195" s="43"/>
    </row>
    <row r="196" spans="1:62" ht="12" customHeight="1" x14ac:dyDescent="0.2">
      <c r="C196" s="29"/>
      <c r="D196" s="309" t="s">
        <v>168</v>
      </c>
      <c r="E196" s="309">
        <v>0</v>
      </c>
      <c r="H196" s="322" t="s">
        <v>195</v>
      </c>
      <c r="I196" s="322"/>
      <c r="J196" s="322"/>
      <c r="K196" s="322"/>
      <c r="L196" s="322"/>
      <c r="M196" s="322"/>
      <c r="N196" s="322"/>
      <c r="O196" s="322"/>
      <c r="P196" s="322"/>
      <c r="Q196" s="322"/>
      <c r="R196" s="322"/>
      <c r="S196" s="322"/>
      <c r="T196" s="322"/>
      <c r="U196" s="322"/>
      <c r="V196" s="322"/>
      <c r="W196" s="322"/>
      <c r="X196" s="322"/>
      <c r="Y196" s="322"/>
      <c r="Z196" s="322"/>
      <c r="AD196" s="81" t="s">
        <v>43</v>
      </c>
      <c r="AE196" s="231" t="s">
        <v>44</v>
      </c>
      <c r="AF196" s="231"/>
      <c r="AG196" s="231"/>
      <c r="AH196" s="231"/>
      <c r="AI196" s="231"/>
      <c r="AJ196" s="231"/>
      <c r="AK196" s="231"/>
      <c r="AL196" s="231"/>
      <c r="AM196" s="231"/>
      <c r="AN196" s="231"/>
      <c r="AO196" s="231"/>
      <c r="AP196" s="231"/>
      <c r="AQ196" s="231"/>
      <c r="AR196" s="231"/>
      <c r="AS196" s="231"/>
      <c r="AT196" s="231"/>
      <c r="AU196" s="231"/>
      <c r="AV196" s="232"/>
      <c r="AZ196" s="43"/>
    </row>
    <row r="197" spans="1:62" ht="12" customHeight="1" x14ac:dyDescent="0.2">
      <c r="C197" s="29"/>
      <c r="D197" s="310"/>
      <c r="E197" s="310"/>
      <c r="H197" s="71" t="s">
        <v>35</v>
      </c>
      <c r="I197" s="314" t="s">
        <v>36</v>
      </c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5"/>
      <c r="AD197" s="28" t="s">
        <v>37</v>
      </c>
      <c r="AE197" s="316" t="s">
        <v>197</v>
      </c>
      <c r="AF197" s="316"/>
      <c r="AG197" s="316"/>
      <c r="AH197" s="316"/>
      <c r="AI197" s="316"/>
      <c r="AJ197" s="316"/>
      <c r="AK197" s="316"/>
      <c r="AL197" s="316"/>
      <c r="AM197" s="316"/>
      <c r="AN197" s="316"/>
      <c r="AO197" s="316"/>
      <c r="AP197" s="316"/>
      <c r="AQ197" s="316"/>
      <c r="AR197" s="316"/>
      <c r="AS197" s="316"/>
      <c r="AT197" s="316"/>
      <c r="AU197" s="316"/>
      <c r="AV197" s="316"/>
      <c r="BA197" s="34"/>
    </row>
    <row r="198" spans="1:62" ht="12" customHeight="1" x14ac:dyDescent="0.2">
      <c r="C198" s="29"/>
      <c r="D198" s="310"/>
      <c r="E198" s="310"/>
      <c r="AD198" s="28" t="s">
        <v>38</v>
      </c>
      <c r="AE198" s="317" t="s">
        <v>198</v>
      </c>
      <c r="AF198" s="317"/>
      <c r="AG198" s="317"/>
      <c r="AH198" s="317"/>
      <c r="AI198" s="317"/>
      <c r="AJ198" s="317"/>
    </row>
    <row r="199" spans="1:62" ht="6" customHeight="1" x14ac:dyDescent="0.2">
      <c r="C199" s="29"/>
      <c r="D199" s="310"/>
      <c r="E199" s="310"/>
      <c r="G199" s="69"/>
    </row>
    <row r="200" spans="1:62" ht="12" customHeight="1" x14ac:dyDescent="0.2">
      <c r="C200" s="29"/>
      <c r="D200" s="310"/>
      <c r="E200" s="310"/>
      <c r="H200" s="93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</row>
    <row r="201" spans="1:62" ht="12" customHeight="1" x14ac:dyDescent="0.2">
      <c r="C201" s="29"/>
      <c r="D201" s="310"/>
      <c r="E201" s="310"/>
      <c r="H201" s="93"/>
      <c r="I201" s="318" t="s">
        <v>45</v>
      </c>
      <c r="J201" s="319"/>
      <c r="K201" s="319"/>
      <c r="L201" s="319"/>
      <c r="M201" s="319"/>
      <c r="N201" s="319"/>
      <c r="O201" s="319"/>
      <c r="P201" s="319"/>
      <c r="Q201" s="319"/>
      <c r="R201" s="319"/>
      <c r="S201" s="319"/>
      <c r="T201" s="319"/>
      <c r="U201" s="319"/>
      <c r="V201" s="319"/>
      <c r="W201" s="319"/>
      <c r="X201" s="319"/>
      <c r="Y201" s="319"/>
      <c r="Z201" s="320"/>
      <c r="AD201" s="81" t="s">
        <v>39</v>
      </c>
      <c r="AE201" s="231" t="s">
        <v>46</v>
      </c>
      <c r="AF201" s="231"/>
      <c r="AG201" s="231"/>
      <c r="AH201" s="231"/>
      <c r="AI201" s="231"/>
      <c r="AJ201" s="231"/>
      <c r="AK201" s="231"/>
      <c r="AL201" s="231"/>
      <c r="AM201" s="231"/>
      <c r="AN201" s="231"/>
      <c r="AO201" s="231"/>
      <c r="AP201" s="231"/>
      <c r="AQ201" s="231"/>
      <c r="AR201" s="231"/>
      <c r="AS201" s="231"/>
      <c r="AT201" s="231"/>
      <c r="AU201" s="231"/>
      <c r="AV201" s="232"/>
    </row>
    <row r="202" spans="1:62" ht="12" customHeight="1" x14ac:dyDescent="0.2">
      <c r="C202" s="29"/>
      <c r="D202" s="310"/>
      <c r="E202" s="310"/>
      <c r="H202" s="28" t="s">
        <v>37</v>
      </c>
      <c r="I202" s="316" t="s">
        <v>196</v>
      </c>
      <c r="J202" s="316"/>
      <c r="K202" s="316"/>
      <c r="L202" s="316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D202" s="28" t="s">
        <v>37</v>
      </c>
      <c r="AE202" s="316" t="s">
        <v>197</v>
      </c>
      <c r="AF202" s="316"/>
      <c r="AG202" s="316"/>
      <c r="AH202" s="316"/>
      <c r="AI202" s="316"/>
      <c r="AJ202" s="316"/>
      <c r="AK202" s="316"/>
      <c r="AL202" s="316"/>
      <c r="AM202" s="316"/>
      <c r="AN202" s="316"/>
      <c r="AO202" s="316"/>
      <c r="AP202" s="316"/>
      <c r="AQ202" s="316"/>
      <c r="AR202" s="316"/>
      <c r="AS202" s="316"/>
      <c r="AT202" s="316"/>
      <c r="AU202" s="316"/>
      <c r="AV202" s="316"/>
    </row>
    <row r="203" spans="1:62" ht="12" customHeight="1" x14ac:dyDescent="0.2">
      <c r="C203" s="29"/>
      <c r="D203" s="310"/>
      <c r="E203" s="310"/>
      <c r="H203" s="28" t="s">
        <v>47</v>
      </c>
      <c r="I203" s="327" t="s">
        <v>199</v>
      </c>
      <c r="J203" s="327"/>
      <c r="K203" s="327"/>
      <c r="L203" s="327"/>
      <c r="M203" s="327"/>
      <c r="N203" s="327"/>
      <c r="O203" s="327"/>
      <c r="P203" s="327"/>
      <c r="AD203" s="28" t="s">
        <v>38</v>
      </c>
      <c r="AE203" s="317" t="s">
        <v>198</v>
      </c>
      <c r="AF203" s="317"/>
      <c r="AG203" s="317"/>
      <c r="AH203" s="317"/>
      <c r="AI203" s="317"/>
      <c r="AJ203" s="317"/>
      <c r="AK203" s="93"/>
      <c r="AL203" s="93"/>
      <c r="AM203" s="93"/>
      <c r="AN203" s="28" t="s">
        <v>40</v>
      </c>
      <c r="AO203" s="337" t="s">
        <v>200</v>
      </c>
      <c r="AP203" s="337"/>
      <c r="AQ203" s="337"/>
      <c r="AR203" s="337"/>
      <c r="AS203" s="337"/>
      <c r="AT203" s="337"/>
      <c r="AU203" s="337"/>
      <c r="AV203" s="337"/>
    </row>
    <row r="204" spans="1:62" ht="12" customHeight="1" x14ac:dyDescent="0.2">
      <c r="C204" s="29"/>
      <c r="D204" s="310"/>
      <c r="E204" s="310"/>
      <c r="H204" s="28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62" s="3" customFormat="1" ht="3.95" customHeight="1" x14ac:dyDescent="0.2">
      <c r="A205" s="29"/>
      <c r="B205" s="29"/>
      <c r="C205" s="29"/>
      <c r="D205" s="310"/>
      <c r="E205" s="310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X205" s="94"/>
      <c r="AZ205" s="34"/>
      <c r="BA205" s="44"/>
      <c r="BB205" s="34"/>
      <c r="BC205" s="34"/>
      <c r="BD205" s="34"/>
      <c r="BE205" s="34"/>
      <c r="BF205" s="34"/>
      <c r="BG205" s="34"/>
      <c r="BH205" s="34"/>
      <c r="BJ205" s="43"/>
    </row>
    <row r="206" spans="1:62" ht="12" hidden="1" customHeight="1" x14ac:dyDescent="0.2">
      <c r="C206" s="29"/>
      <c r="D206" s="310"/>
      <c r="E206" s="309">
        <v>1</v>
      </c>
      <c r="H206" s="322"/>
      <c r="I206" s="322"/>
      <c r="J206" s="322"/>
      <c r="K206" s="322"/>
      <c r="L206" s="322"/>
      <c r="M206" s="322"/>
      <c r="N206" s="322"/>
      <c r="O206" s="322"/>
      <c r="P206" s="322"/>
      <c r="Q206" s="322"/>
      <c r="R206" s="322"/>
      <c r="S206" s="322"/>
      <c r="T206" s="322"/>
      <c r="U206" s="322"/>
      <c r="V206" s="322"/>
      <c r="W206" s="322"/>
      <c r="X206" s="322"/>
      <c r="Y206" s="322"/>
      <c r="Z206" s="322"/>
      <c r="BB206" s="34"/>
      <c r="BC206" s="34"/>
      <c r="BD206" s="34"/>
      <c r="BE206" s="34"/>
      <c r="BF206" s="34"/>
      <c r="BG206" s="34"/>
      <c r="BH206" s="34"/>
    </row>
    <row r="207" spans="1:62" ht="12" hidden="1" customHeight="1" x14ac:dyDescent="0.2">
      <c r="C207" s="29"/>
      <c r="D207" s="310"/>
      <c r="E207" s="309"/>
      <c r="H207" s="71" t="s">
        <v>35</v>
      </c>
      <c r="I207" s="314" t="s">
        <v>36</v>
      </c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5"/>
      <c r="AD207" s="93"/>
      <c r="BA207" s="34"/>
      <c r="BJ207" s="3"/>
    </row>
    <row r="208" spans="1:62" ht="12" hidden="1" customHeight="1" x14ac:dyDescent="0.2">
      <c r="C208" s="29"/>
      <c r="D208" s="310"/>
      <c r="E208" s="309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BA208" s="34"/>
    </row>
    <row r="209" spans="1:62" ht="6" hidden="1" customHeight="1" x14ac:dyDescent="0.2">
      <c r="C209" s="29"/>
      <c r="D209" s="310"/>
      <c r="E209" s="309"/>
      <c r="G209" s="69"/>
      <c r="BB209" s="34"/>
      <c r="BC209" s="34"/>
      <c r="BD209" s="34"/>
      <c r="BE209" s="34"/>
      <c r="BF209" s="34"/>
      <c r="BG209" s="34"/>
      <c r="BH209" s="34"/>
    </row>
    <row r="210" spans="1:62" ht="12" hidden="1" customHeight="1" x14ac:dyDescent="0.2">
      <c r="C210" s="29"/>
      <c r="D210" s="310"/>
      <c r="E210" s="309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BB210" s="34"/>
      <c r="BC210" s="34"/>
      <c r="BD210" s="34"/>
      <c r="BE210" s="34"/>
      <c r="BF210" s="34"/>
      <c r="BG210" s="34"/>
      <c r="BH210" s="34"/>
    </row>
    <row r="211" spans="1:62" ht="12" hidden="1" customHeight="1" x14ac:dyDescent="0.2">
      <c r="C211" s="29"/>
      <c r="D211" s="310"/>
      <c r="E211" s="309"/>
      <c r="H211" s="81" t="s">
        <v>39</v>
      </c>
      <c r="I211" s="231" t="s">
        <v>169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  <c r="U211" s="231"/>
      <c r="V211" s="231"/>
      <c r="W211" s="231"/>
      <c r="X211" s="231"/>
      <c r="Y211" s="231"/>
      <c r="Z211" s="232"/>
      <c r="BA211" s="34"/>
    </row>
    <row r="212" spans="1:62" ht="12" hidden="1" customHeight="1" x14ac:dyDescent="0.2">
      <c r="C212" s="29"/>
      <c r="D212" s="310"/>
      <c r="E212" s="309"/>
      <c r="H212" s="28" t="s">
        <v>170</v>
      </c>
      <c r="I212" s="316"/>
      <c r="J212" s="316"/>
      <c r="K212" s="316"/>
      <c r="L212" s="316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BA212" s="34"/>
      <c r="BB212" s="43"/>
      <c r="BC212" s="43"/>
      <c r="BD212" s="43"/>
      <c r="BE212" s="43"/>
      <c r="BF212" s="43"/>
      <c r="BG212" s="43"/>
      <c r="BH212" s="43"/>
    </row>
    <row r="213" spans="1:62" ht="12" hidden="1" customHeight="1" x14ac:dyDescent="0.2">
      <c r="C213" s="29"/>
      <c r="D213" s="310"/>
      <c r="E213" s="309"/>
      <c r="H213" s="28" t="s">
        <v>37</v>
      </c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BA213" s="34"/>
      <c r="BB213" s="34"/>
      <c r="BC213" s="43"/>
      <c r="BD213" s="43"/>
      <c r="BE213" s="43"/>
      <c r="BF213" s="43"/>
      <c r="BG213" s="43"/>
      <c r="BH213" s="43"/>
    </row>
    <row r="214" spans="1:62" ht="12" hidden="1" customHeight="1" x14ac:dyDescent="0.2">
      <c r="C214" s="29"/>
      <c r="D214" s="310"/>
      <c r="E214" s="309"/>
      <c r="BA214" s="34"/>
    </row>
    <row r="215" spans="1:62" s="3" customFormat="1" ht="3.95" hidden="1" customHeight="1" x14ac:dyDescent="0.2">
      <c r="A215" s="29"/>
      <c r="B215" s="29"/>
      <c r="C215" s="29"/>
      <c r="D215" s="310"/>
      <c r="E215" s="309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X215" s="94"/>
      <c r="AZ215" s="34"/>
      <c r="BA215" s="34"/>
      <c r="BJ215" s="43"/>
    </row>
    <row r="216" spans="1:62" s="3" customFormat="1" ht="12" customHeight="1" x14ac:dyDescent="0.2">
      <c r="A216" s="29"/>
      <c r="B216" s="29"/>
      <c r="C216" s="29"/>
      <c r="D216" s="29"/>
      <c r="E216" s="5"/>
      <c r="F216" s="4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34"/>
      <c r="BA216" s="34"/>
      <c r="BB216" s="34"/>
      <c r="BC216" s="34"/>
      <c r="BD216" s="34"/>
      <c r="BE216" s="34"/>
      <c r="BF216" s="34"/>
      <c r="BG216" s="34"/>
      <c r="BH216" s="34"/>
      <c r="BJ216" s="43"/>
    </row>
    <row r="217" spans="1:62" s="3" customFormat="1" ht="12" customHeight="1" x14ac:dyDescent="0.2">
      <c r="A217" s="29">
        <v>0</v>
      </c>
      <c r="B217" s="29"/>
      <c r="C217" s="29"/>
      <c r="D217" s="29"/>
      <c r="E217" s="5"/>
      <c r="F217" s="43"/>
      <c r="G217" s="93"/>
      <c r="H217" s="93"/>
      <c r="I217" s="334" t="s">
        <v>171</v>
      </c>
      <c r="J217" s="335"/>
      <c r="K217" s="335"/>
      <c r="L217" s="335"/>
      <c r="M217" s="335"/>
      <c r="N217" s="335"/>
      <c r="O217" s="335"/>
      <c r="P217" s="335"/>
      <c r="Q217" s="335"/>
      <c r="R217" s="335"/>
      <c r="S217" s="335"/>
      <c r="T217" s="335"/>
      <c r="U217" s="335"/>
      <c r="V217" s="335"/>
      <c r="W217" s="335"/>
      <c r="X217" s="335"/>
      <c r="Y217" s="335"/>
      <c r="Z217" s="335"/>
      <c r="AA217" s="335"/>
      <c r="AB217" s="335"/>
      <c r="AC217" s="335"/>
      <c r="AD217" s="335"/>
      <c r="AE217" s="335"/>
      <c r="AF217" s="335"/>
      <c r="AG217" s="335"/>
      <c r="AH217" s="335"/>
      <c r="AI217" s="335"/>
      <c r="AJ217" s="335"/>
      <c r="AK217" s="335"/>
      <c r="AL217" s="335"/>
      <c r="AM217" s="335"/>
      <c r="AN217" s="335"/>
      <c r="AO217" s="335"/>
      <c r="AP217" s="335"/>
      <c r="AQ217" s="335"/>
      <c r="AR217" s="335"/>
      <c r="AS217" s="335"/>
      <c r="AT217" s="335"/>
      <c r="AU217" s="336"/>
      <c r="AV217" s="93"/>
      <c r="AW217" s="93"/>
      <c r="AX217" s="93"/>
      <c r="AY217" s="93"/>
      <c r="AZ217" s="34"/>
      <c r="BB217" s="34"/>
      <c r="BC217" s="34"/>
      <c r="BD217" s="34"/>
      <c r="BE217" s="34"/>
      <c r="BF217" s="34"/>
      <c r="BG217" s="34"/>
      <c r="BH217" s="34"/>
    </row>
    <row r="218" spans="1:62" x14ac:dyDescent="0.2">
      <c r="BA218" s="34"/>
      <c r="BJ218" s="3"/>
    </row>
    <row r="219" spans="1:62" x14ac:dyDescent="0.2">
      <c r="BA219" s="34"/>
      <c r="BJ219" s="3"/>
    </row>
    <row r="220" spans="1:62" x14ac:dyDescent="0.2">
      <c r="BG220" s="43"/>
      <c r="BH220" s="43"/>
    </row>
    <row r="221" spans="1:62" x14ac:dyDescent="0.2">
      <c r="BG221" s="43"/>
      <c r="BH221" s="43"/>
    </row>
    <row r="222" spans="1:62" x14ac:dyDescent="0.2">
      <c r="BG222" s="43"/>
      <c r="BH222" s="43"/>
    </row>
    <row r="223" spans="1:62" x14ac:dyDescent="0.2"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BG223" s="43"/>
      <c r="BH223" s="43"/>
    </row>
    <row r="224" spans="1:62" x14ac:dyDescent="0.2"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</row>
    <row r="225" spans="7:48" x14ac:dyDescent="0.2"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</row>
    <row r="226" spans="7:48" x14ac:dyDescent="0.2"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</row>
    <row r="227" spans="7:48" x14ac:dyDescent="0.2"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</row>
  </sheetData>
  <sheetCalcPr fullCalcOnLoad="1"/>
  <sheetProtection sheet="1" formatCells="0" formatColumns="0" formatRows="0" selectLockedCells="1" sort="0" autoFilter="0"/>
  <mergeCells count="309">
    <mergeCell ref="AE202:AV202"/>
    <mergeCell ref="I217:AU217"/>
    <mergeCell ref="AO203:AV203"/>
    <mergeCell ref="Y91:AA91"/>
    <mergeCell ref="AC88:AW91"/>
    <mergeCell ref="I212:Z212"/>
    <mergeCell ref="I91:R91"/>
    <mergeCell ref="V91:X91"/>
    <mergeCell ref="S91:U91"/>
    <mergeCell ref="AE203:AJ203"/>
    <mergeCell ref="I213:Z213"/>
    <mergeCell ref="H206:Z206"/>
    <mergeCell ref="Y88:AA88"/>
    <mergeCell ref="I88:R88"/>
    <mergeCell ref="I203:P203"/>
    <mergeCell ref="H196:Z196"/>
    <mergeCell ref="G89:H90"/>
    <mergeCell ref="S89:U90"/>
    <mergeCell ref="V89:X90"/>
    <mergeCell ref="I89:R90"/>
    <mergeCell ref="AE197:AV197"/>
    <mergeCell ref="AC128:AW143"/>
    <mergeCell ref="AE198:AJ198"/>
    <mergeCell ref="E206:E215"/>
    <mergeCell ref="I211:Z211"/>
    <mergeCell ref="I202:Z202"/>
    <mergeCell ref="I201:Z201"/>
    <mergeCell ref="G128:AA143"/>
    <mergeCell ref="I197:Z197"/>
    <mergeCell ref="AE201:AV201"/>
    <mergeCell ref="V82:X82"/>
    <mergeCell ref="D196:D215"/>
    <mergeCell ref="E196:E205"/>
    <mergeCell ref="G91:H91"/>
    <mergeCell ref="G88:H88"/>
    <mergeCell ref="V88:X88"/>
    <mergeCell ref="G86:H86"/>
    <mergeCell ref="I86:R86"/>
    <mergeCell ref="S86:U86"/>
    <mergeCell ref="I207:Z207"/>
    <mergeCell ref="Y76:AA76"/>
    <mergeCell ref="AC77:AW87"/>
    <mergeCell ref="V84:X84"/>
    <mergeCell ref="Y83:AA83"/>
    <mergeCell ref="V83:X83"/>
    <mergeCell ref="Y85:AA85"/>
    <mergeCell ref="Y79:AA79"/>
    <mergeCell ref="Y86:AA86"/>
    <mergeCell ref="Y82:AA82"/>
    <mergeCell ref="AC76:AW76"/>
    <mergeCell ref="AS74:AW74"/>
    <mergeCell ref="AL35:AM35"/>
    <mergeCell ref="Y74:AA74"/>
    <mergeCell ref="Y68:AA68"/>
    <mergeCell ref="Y69:AA69"/>
    <mergeCell ref="AS72:AW73"/>
    <mergeCell ref="AK65:AO65"/>
    <mergeCell ref="AS68:AW68"/>
    <mergeCell ref="AC70:AR70"/>
    <mergeCell ref="AF35:AG35"/>
    <mergeCell ref="G26:I26"/>
    <mergeCell ref="G24:I24"/>
    <mergeCell ref="G25:I25"/>
    <mergeCell ref="K26:AW26"/>
    <mergeCell ref="K24:AW24"/>
    <mergeCell ref="K25:AW25"/>
    <mergeCell ref="V69:X69"/>
    <mergeCell ref="K27:AW27"/>
    <mergeCell ref="K29:AW29"/>
    <mergeCell ref="G29:I29"/>
    <mergeCell ref="G30:I30"/>
    <mergeCell ref="G27:I27"/>
    <mergeCell ref="G28:I28"/>
    <mergeCell ref="K30:AW30"/>
    <mergeCell ref="K28:AW28"/>
    <mergeCell ref="G31:I31"/>
    <mergeCell ref="AF34:AP34"/>
    <mergeCell ref="AH35:AK35"/>
    <mergeCell ref="U35:AB35"/>
    <mergeCell ref="AD35:AE35"/>
    <mergeCell ref="U34:V34"/>
    <mergeCell ref="K31:AW31"/>
    <mergeCell ref="AR35:AW35"/>
    <mergeCell ref="W34:AB34"/>
    <mergeCell ref="AD34:AE34"/>
    <mergeCell ref="AR34:AW34"/>
    <mergeCell ref="G82:H82"/>
    <mergeCell ref="I82:R82"/>
    <mergeCell ref="V68:X68"/>
    <mergeCell ref="U37:AV37"/>
    <mergeCell ref="AC69:AR69"/>
    <mergeCell ref="AC72:AR73"/>
    <mergeCell ref="AS70:AW70"/>
    <mergeCell ref="S82:U82"/>
    <mergeCell ref="G81:H81"/>
    <mergeCell ref="I81:R81"/>
    <mergeCell ref="I87:R87"/>
    <mergeCell ref="S88:U88"/>
    <mergeCell ref="G87:H87"/>
    <mergeCell ref="V87:X87"/>
    <mergeCell ref="V86:X86"/>
    <mergeCell ref="G85:H85"/>
    <mergeCell ref="I85:R85"/>
    <mergeCell ref="S87:U87"/>
    <mergeCell ref="V85:X85"/>
    <mergeCell ref="G83:H83"/>
    <mergeCell ref="I83:R83"/>
    <mergeCell ref="G84:H84"/>
    <mergeCell ref="I84:R84"/>
    <mergeCell ref="S85:U85"/>
    <mergeCell ref="S84:U84"/>
    <mergeCell ref="S83:U83"/>
    <mergeCell ref="Y81:AA81"/>
    <mergeCell ref="S80:U80"/>
    <mergeCell ref="V80:X80"/>
    <mergeCell ref="S81:U81"/>
    <mergeCell ref="V81:X81"/>
    <mergeCell ref="G80:H80"/>
    <mergeCell ref="I80:R80"/>
    <mergeCell ref="G79:H79"/>
    <mergeCell ref="I79:R79"/>
    <mergeCell ref="S79:U79"/>
    <mergeCell ref="V79:X79"/>
    <mergeCell ref="G77:H77"/>
    <mergeCell ref="G78:H78"/>
    <mergeCell ref="I78:R78"/>
    <mergeCell ref="V78:X78"/>
    <mergeCell ref="S78:U78"/>
    <mergeCell ref="I77:R77"/>
    <mergeCell ref="V77:X77"/>
    <mergeCell ref="G75:H75"/>
    <mergeCell ref="I75:R75"/>
    <mergeCell ref="S75:U75"/>
    <mergeCell ref="G76:H76"/>
    <mergeCell ref="I76:R76"/>
    <mergeCell ref="S76:U76"/>
    <mergeCell ref="V76:X76"/>
    <mergeCell ref="AS67:AW67"/>
    <mergeCell ref="Y72:AA72"/>
    <mergeCell ref="Y73:AA73"/>
    <mergeCell ref="AS71:AW71"/>
    <mergeCell ref="AC74:AR74"/>
    <mergeCell ref="V73:X73"/>
    <mergeCell ref="AS69:AW69"/>
    <mergeCell ref="V71:X71"/>
    <mergeCell ref="AC68:AR68"/>
    <mergeCell ref="Y70:AA70"/>
    <mergeCell ref="AC71:AR71"/>
    <mergeCell ref="G96:AA111"/>
    <mergeCell ref="G112:AA127"/>
    <mergeCell ref="G70:H70"/>
    <mergeCell ref="S72:U72"/>
    <mergeCell ref="V72:X72"/>
    <mergeCell ref="I73:R73"/>
    <mergeCell ref="S73:U73"/>
    <mergeCell ref="G71:H71"/>
    <mergeCell ref="V70:X70"/>
    <mergeCell ref="G72:H72"/>
    <mergeCell ref="G74:H74"/>
    <mergeCell ref="I74:R74"/>
    <mergeCell ref="S74:U74"/>
    <mergeCell ref="G73:H73"/>
    <mergeCell ref="Y80:AA80"/>
    <mergeCell ref="I72:R72"/>
    <mergeCell ref="V74:X74"/>
    <mergeCell ref="S77:U77"/>
    <mergeCell ref="V75:X75"/>
    <mergeCell ref="Y71:AA71"/>
    <mergeCell ref="AC112:AW127"/>
    <mergeCell ref="Y87:AA87"/>
    <mergeCell ref="Y84:AA84"/>
    <mergeCell ref="Y78:AA78"/>
    <mergeCell ref="AC75:AP75"/>
    <mergeCell ref="AQ75:AW75"/>
    <mergeCell ref="Y77:AA77"/>
    <mergeCell ref="Y75:AA75"/>
    <mergeCell ref="Y89:AA90"/>
    <mergeCell ref="I68:R68"/>
    <mergeCell ref="I69:R69"/>
    <mergeCell ref="S68:U68"/>
    <mergeCell ref="G68:H68"/>
    <mergeCell ref="S71:U71"/>
    <mergeCell ref="I70:R70"/>
    <mergeCell ref="S70:U70"/>
    <mergeCell ref="S69:U69"/>
    <mergeCell ref="AE196:AV196"/>
    <mergeCell ref="AC96:AW111"/>
    <mergeCell ref="U38:AV38"/>
    <mergeCell ref="G61:AA61"/>
    <mergeCell ref="AC67:AR67"/>
    <mergeCell ref="AP65:AW65"/>
    <mergeCell ref="AS63:AW63"/>
    <mergeCell ref="AC64:AW64"/>
    <mergeCell ref="I71:R71"/>
    <mergeCell ref="G69:H69"/>
    <mergeCell ref="S63:U66"/>
    <mergeCell ref="G62:AA62"/>
    <mergeCell ref="AP46:AQ46"/>
    <mergeCell ref="AS50:AT50"/>
    <mergeCell ref="AL48:AW48"/>
    <mergeCell ref="G53:P53"/>
    <mergeCell ref="Q53:Z53"/>
    <mergeCell ref="Q52:R52"/>
    <mergeCell ref="W55:Y55"/>
    <mergeCell ref="AC65:AJ65"/>
    <mergeCell ref="J55:N55"/>
    <mergeCell ref="AS51:AW51"/>
    <mergeCell ref="AS52:AT52"/>
    <mergeCell ref="AL52:AR52"/>
    <mergeCell ref="G52:H52"/>
    <mergeCell ref="I52:P52"/>
    <mergeCell ref="AA53:AI53"/>
    <mergeCell ref="AU52:AW52"/>
    <mergeCell ref="S52:Z52"/>
    <mergeCell ref="I56:AW56"/>
    <mergeCell ref="AS53:AW53"/>
    <mergeCell ref="AL57:AW57"/>
    <mergeCell ref="I54:AW54"/>
    <mergeCell ref="G54:H54"/>
    <mergeCell ref="Z55:AF55"/>
    <mergeCell ref="AG55:AW55"/>
    <mergeCell ref="O55:Q55"/>
    <mergeCell ref="R55:V55"/>
    <mergeCell ref="G55:I55"/>
    <mergeCell ref="K22:AW22"/>
    <mergeCell ref="AR42:AW42"/>
    <mergeCell ref="AJ49:AW49"/>
    <mergeCell ref="I50:U50"/>
    <mergeCell ref="AJ46:AO46"/>
    <mergeCell ref="AC50:AR50"/>
    <mergeCell ref="AJ48:AK48"/>
    <mergeCell ref="AU50:AW50"/>
    <mergeCell ref="I48:AI48"/>
    <mergeCell ref="AP45:AQ45"/>
    <mergeCell ref="G49:AI49"/>
    <mergeCell ref="AJ53:AR53"/>
    <mergeCell ref="V50:W50"/>
    <mergeCell ref="X50:Z50"/>
    <mergeCell ref="G51:U51"/>
    <mergeCell ref="V51:Z51"/>
    <mergeCell ref="AA51:AR51"/>
    <mergeCell ref="AA52:AB52"/>
    <mergeCell ref="AC52:AI52"/>
    <mergeCell ref="AJ52:AK52"/>
    <mergeCell ref="AR45:AW45"/>
    <mergeCell ref="AR43:AW43"/>
    <mergeCell ref="G42:H42"/>
    <mergeCell ref="I42:AI42"/>
    <mergeCell ref="AJ42:AK42"/>
    <mergeCell ref="AL42:AO42"/>
    <mergeCell ref="AH45:AI45"/>
    <mergeCell ref="Z45:AA45"/>
    <mergeCell ref="T3:AU3"/>
    <mergeCell ref="T4:AU4"/>
    <mergeCell ref="T5:AU5"/>
    <mergeCell ref="AJ45:AK45"/>
    <mergeCell ref="AL45:AO45"/>
    <mergeCell ref="AB45:AG45"/>
    <mergeCell ref="G43:AI43"/>
    <mergeCell ref="AJ43:AO43"/>
    <mergeCell ref="AP43:AQ43"/>
    <mergeCell ref="AP42:AQ42"/>
    <mergeCell ref="G48:H48"/>
    <mergeCell ref="G10:I10"/>
    <mergeCell ref="K10:M10"/>
    <mergeCell ref="O10:AW11"/>
    <mergeCell ref="G20:AW20"/>
    <mergeCell ref="G18:AW18"/>
    <mergeCell ref="G13:I13"/>
    <mergeCell ref="K13:M13"/>
    <mergeCell ref="O13:AW16"/>
    <mergeCell ref="AR46:AW46"/>
    <mergeCell ref="AC66:AW66"/>
    <mergeCell ref="G22:I22"/>
    <mergeCell ref="G50:H50"/>
    <mergeCell ref="G45:H45"/>
    <mergeCell ref="I45:Y45"/>
    <mergeCell ref="G47:AW47"/>
    <mergeCell ref="G46:Y46"/>
    <mergeCell ref="Z46:AG46"/>
    <mergeCell ref="AH46:AI46"/>
    <mergeCell ref="AA50:AB50"/>
    <mergeCell ref="G63:R67"/>
    <mergeCell ref="Y67:AA67"/>
    <mergeCell ref="G57:I57"/>
    <mergeCell ref="G56:H56"/>
    <mergeCell ref="V63:X66"/>
    <mergeCell ref="Y63:AA66"/>
    <mergeCell ref="V67:X67"/>
    <mergeCell ref="S67:U67"/>
    <mergeCell ref="U57:W57"/>
    <mergeCell ref="J57:T57"/>
    <mergeCell ref="BG57:BH57"/>
    <mergeCell ref="AC61:AW61"/>
    <mergeCell ref="AH63:AL63"/>
    <mergeCell ref="AC63:AG63"/>
    <mergeCell ref="BB57:BE57"/>
    <mergeCell ref="AC62:AW62"/>
    <mergeCell ref="AI57:AK57"/>
    <mergeCell ref="X57:AH57"/>
    <mergeCell ref="AM63:AR63"/>
    <mergeCell ref="AS92:AW92"/>
    <mergeCell ref="AC145:AW160"/>
    <mergeCell ref="G161:AA176"/>
    <mergeCell ref="AC161:AW176"/>
    <mergeCell ref="G177:AA192"/>
    <mergeCell ref="AC177:AW192"/>
    <mergeCell ref="G145:AA160"/>
    <mergeCell ref="G92:AR92"/>
  </mergeCells>
  <phoneticPr fontId="3" type="noConversion"/>
  <conditionalFormatting sqref="BD62:BD92">
    <cfRule type="cellIs" dxfId="8" priority="2" stopIfTrue="1" operator="equal">
      <formula>BD62+$BC$93-BD61</formula>
    </cfRule>
  </conditionalFormatting>
  <conditionalFormatting sqref="BC62:BC92">
    <cfRule type="cellIs" dxfId="7" priority="3" stopIfTrue="1" operator="equal">
      <formula>BC62+$BC$93-BC61</formula>
    </cfRule>
  </conditionalFormatting>
  <conditionalFormatting sqref="BE62:BE92">
    <cfRule type="cellIs" dxfId="6" priority="4" stopIfTrue="1" operator="equal">
      <formula>BE62+$BC$93-BE61</formula>
    </cfRule>
    <cfRule type="cellIs" dxfId="5" priority="5" stopIfTrue="1" operator="equal">
      <formula>0</formula>
    </cfRule>
  </conditionalFormatting>
  <conditionalFormatting sqref="G13:G14 AQ75:AW75 AC88:AW91 BH59 BH61:BH64">
    <cfRule type="cellIs" dxfId="4" priority="1" stopIfTrue="1" operator="equal">
      <formula>0</formula>
    </cfRule>
  </conditionalFormatting>
  <conditionalFormatting sqref="BD61">
    <cfRule type="cellIs" dxfId="3" priority="7" stopIfTrue="1" operator="equal">
      <formula>BD61+$BC$93</formula>
    </cfRule>
  </conditionalFormatting>
  <conditionalFormatting sqref="BC61">
    <cfRule type="cellIs" dxfId="2" priority="8" stopIfTrue="1" operator="equal">
      <formula>BC61+$BC$93</formula>
    </cfRule>
  </conditionalFormatting>
  <conditionalFormatting sqref="BE61">
    <cfRule type="cellIs" dxfId="1" priority="9" stopIfTrue="1" operator="equal">
      <formula>BE61+$BC$93</formula>
    </cfRule>
    <cfRule type="cellIs" dxfId="0" priority="10" stopIfTrue="1" operator="equal">
      <formula>0</formula>
    </cfRule>
  </conditionalFormatting>
  <dataValidations count="2">
    <dataValidation type="list" allowBlank="1" showInputMessage="1" showErrorMessage="1" sqref="AS67:AW72 AS92:AW92">
      <formula1>"sim,não"</formula1>
    </dataValidation>
    <dataValidation type="list" allowBlank="1" showInputMessage="1" showErrorMessage="1" sqref="AH46:AI46 AS51:AW51 AS53:AW53">
      <formula1>"AC,AL,AP,AM,BA,CE,DF,ES,GO,MA,MT,MS,MG,PA,PB,PR,PE,PI,RR,RO,RJ,RN,RS,SC,SP,SE,TO"</formula1>
    </dataValidation>
  </dataValidations>
  <printOptions horizontalCentered="1"/>
  <pageMargins left="0.78740157480314965" right="0.19685039370078741" top="0.78740157480314965" bottom="0.59055118110236227" header="0.39370078740157483" footer="0.39370078740157483"/>
  <pageSetup paperSize="9" scale="96" fitToHeight="0" orientation="portrait" horizontalDpi="4294967294" verticalDpi="4294967294" r:id="rId1"/>
  <headerFooter alignWithMargins="0">
    <oddHeader>&amp;R AE &amp;14 130 &amp;10 020</oddHeader>
    <oddFooter>&amp;LVigência: 23/07/2020&amp;CPFUI-RAE_AE130
&amp;A&amp;R&amp;P/&amp;N</oddFooter>
  </headerFooter>
  <rowBreaks count="2" manualBreakCount="2">
    <brk id="93" min="5" max="49" man="1"/>
    <brk id="144" min="5" max="49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RAE</vt:lpstr>
      <vt:lpstr>RAE!Area_de_impressao</vt:lpstr>
      <vt:lpstr>PerConc</vt:lpstr>
      <vt:lpstr>quadro</vt:lpstr>
    </vt:vector>
  </TitlesOfParts>
  <Manager>Wady Vidal</Manager>
  <Company>Caixa Econômica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PFUI-Analise_v002</dc:title>
  <dc:creator>PeagaH Moura</dc:creator>
  <dc:description>Revisado em 28 ABR 2015</dc:description>
  <cp:lastModifiedBy>Felipe Gandra</cp:lastModifiedBy>
  <cp:lastPrinted>2019-05-30T19:04:18Z</cp:lastPrinted>
  <dcterms:created xsi:type="dcterms:W3CDTF">2013-06-27T13:58:46Z</dcterms:created>
  <dcterms:modified xsi:type="dcterms:W3CDTF">2021-06-23T14:12:22Z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a47ad8-907a-4afd-bc2a-6b2ee4f96f0c_Enabled">
    <vt:lpwstr>True</vt:lpwstr>
  </property>
  <property fmtid="{D5CDD505-2E9C-101B-9397-08002B2CF9AE}" pid="3" name="MSIP_Label_f1a47ad8-907a-4afd-bc2a-6b2ee4f96f0c_SiteId">
    <vt:lpwstr>ab9bba98-684a-43fb-add8-9c2bebede229</vt:lpwstr>
  </property>
  <property fmtid="{D5CDD505-2E9C-101B-9397-08002B2CF9AE}" pid="4" name="MSIP_Label_f1a47ad8-907a-4afd-bc2a-6b2ee4f96f0c_Owner">
    <vt:lpwstr>c069326@corp.caixa.gov.br</vt:lpwstr>
  </property>
  <property fmtid="{D5CDD505-2E9C-101B-9397-08002B2CF9AE}" pid="5" name="MSIP_Label_f1a47ad8-907a-4afd-bc2a-6b2ee4f96f0c_SetDate">
    <vt:lpwstr>2020-07-13T19:58:54.8302795Z</vt:lpwstr>
  </property>
  <property fmtid="{D5CDD505-2E9C-101B-9397-08002B2CF9AE}" pid="6" name="MSIP_Label_f1a47ad8-907a-4afd-bc2a-6b2ee4f96f0c_Name">
    <vt:lpwstr>#EXTERNO.CONFIDENCIAL</vt:lpwstr>
  </property>
  <property fmtid="{D5CDD505-2E9C-101B-9397-08002B2CF9AE}" pid="7" name="MSIP_Label_f1a47ad8-907a-4afd-bc2a-6b2ee4f96f0c_Application">
    <vt:lpwstr>Microsoft Azure Information Protection</vt:lpwstr>
  </property>
  <property fmtid="{D5CDD505-2E9C-101B-9397-08002B2CF9AE}" pid="8" name="MSIP_Label_f1a47ad8-907a-4afd-bc2a-6b2ee4f96f0c_ActionId">
    <vt:lpwstr>405eba2a-2c1c-4fd3-8ffa-f6c6a1b0d9ba</vt:lpwstr>
  </property>
  <property fmtid="{D5CDD505-2E9C-101B-9397-08002B2CF9AE}" pid="9" name="MSIP_Label_f1a47ad8-907a-4afd-bc2a-6b2ee4f96f0c_Extended_MSFT_Method">
    <vt:lpwstr>Manual</vt:lpwstr>
  </property>
  <property fmtid="{D5CDD505-2E9C-101B-9397-08002B2CF9AE}" pid="10" name="Sensitivity">
    <vt:lpwstr>#EXTERNO.CONFIDENCIAL</vt:lpwstr>
  </property>
</Properties>
</file>