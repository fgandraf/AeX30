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x:workbook xmlns:x15ac="http://schemas.microsoft.com/office/spreadsheetml/2010/11/ac" xmlns:r="http://schemas.openxmlformats.org/officeDocument/2006/relationships" xmlns:mc="http://schemas.openxmlformats.org/markup-compatibility/2006" xmlns:x15="http://schemas.microsoft.com/office/spreadsheetml/2010/11/main" xmlns:x="http://schemas.openxmlformats.org/spreadsheetml/2006/main" mc:Ignorable="x15">
  <x:fileVersion appName="xl" lastEdited="6" lowestEdited="6" rupBuild="14420" codeName="{51196F13-6AD0-C1B8-E2B4-A1F9AE17003E}"/>
  <x: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Felipe Gandra\source\repos\RAECEF\Modelos\RAE\"/>
    </mc:Choice>
  </mc:AlternateContent>
  <x:bookViews>
    <x:workbookView xWindow="32760" yWindow="32760" windowWidth="24000" windowHeight="9735" firstSheet="0" activeTab="0"/>
  </x:bookViews>
  <x:sheets>
    <x:sheet name="RAE" sheetId="11" r:id="rId1"/>
  </x:sheets>
  <x:functionGroups builtInGroupCount="18"/>
  <x:definedNames>
    <x:definedName name="_xlnm.Print_Area" localSheetId="0">RAE!$F$33:$AX$215</x:definedName>
    <x:definedName name="PerConc">RAE!$BH$64</x:definedName>
    <x:definedName name="quadro">RAE!$A$217</x:definedName>
  </x:definedNames>
  <x:calcPr calcId="162913"/>
</x:workbook>
</file>

<file path=xl/calcChain.xml><?xml version="1.0" encoding="utf-8"?>
<calcChain xmlns="http://schemas.openxmlformats.org/spreadsheetml/2006/main">
  <c r="A33" i="11" l="1"/>
  <c r="B33" i="11"/>
  <c r="B35" i="11"/>
  <c r="C35" i="11"/>
  <c r="D35" i="11"/>
  <c r="A38" i="11"/>
  <c r="B38" i="11"/>
  <c r="C38" i="11"/>
  <c r="BH59" i="11"/>
  <c r="BI59" i="11"/>
  <c r="BD61" i="11"/>
  <c r="BE61" i="11"/>
  <c r="BH61" i="11"/>
  <c r="BD62" i="11"/>
  <c r="BE62" i="11"/>
  <c r="BH62" i="11"/>
  <c r="BD63" i="11"/>
  <c r="BE63" i="11"/>
  <c r="BH63" i="11"/>
  <c r="BD64" i="11"/>
  <c r="BE64" i="11"/>
  <c r="BH64" i="11"/>
  <c r="BD65" i="11"/>
  <c r="BE65" i="11"/>
  <c r="BD66" i="11"/>
  <c r="BE66" i="11"/>
  <c r="BD67" i="11"/>
  <c r="BE67" i="11"/>
  <c r="Y68" i="11"/>
  <c r="BD68" i="11"/>
  <c r="BE68" i="11"/>
  <c r="Y69" i="11"/>
  <c r="BD69" i="11"/>
  <c r="BE69" i="11"/>
  <c r="Y70" i="11"/>
  <c r="BD70" i="11"/>
  <c r="BE70" i="11"/>
  <c r="Y71" i="11"/>
  <c r="BD71" i="11"/>
  <c r="BE71" i="11"/>
  <c r="Y72" i="11"/>
  <c r="BD72" i="11"/>
  <c r="BE72" i="11"/>
  <c r="Y73" i="11"/>
  <c r="BD73" i="11"/>
  <c r="BE73" i="11"/>
  <c r="Y74" i="11"/>
  <c r="BD74" i="11"/>
  <c r="BE74" i="11"/>
  <c r="Y75" i="11"/>
  <c r="AQ75" i="11"/>
  <c r="BD75" i="11"/>
  <c r="BE75" i="11"/>
  <c r="Y76" i="11"/>
  <c r="BD76" i="11"/>
  <c r="BE76" i="11"/>
  <c r="Y77" i="11"/>
  <c r="BD77" i="11"/>
  <c r="BE77" i="11"/>
  <c r="Y78" i="11"/>
  <c r="BD78" i="11"/>
  <c r="BE78" i="11"/>
  <c r="Y79" i="11"/>
  <c r="BD79" i="11"/>
  <c r="BE79" i="11"/>
  <c r="Y80" i="11"/>
  <c r="BD80" i="11"/>
  <c r="BE80" i="11"/>
  <c r="Y81" i="11"/>
  <c r="BD81" i="11"/>
  <c r="BE81" i="11"/>
  <c r="Y82" i="11"/>
  <c r="BD82" i="11"/>
  <c r="BE82" i="11"/>
  <c r="Y83" i="11"/>
  <c r="BD83" i="11"/>
  <c r="BE83" i="11"/>
  <c r="Y84" i="11"/>
  <c r="BD84" i="11"/>
  <c r="BE84" i="11"/>
  <c r="Y85" i="11"/>
  <c r="BD85" i="11"/>
  <c r="BE85" i="11"/>
  <c r="Y86" i="11"/>
  <c r="BD86" i="11"/>
  <c r="BE86" i="11"/>
  <c r="Y87" i="11"/>
  <c r="BD87" i="11"/>
  <c r="BE87" i="11"/>
  <c r="S88" i="11"/>
  <c r="Y88" i="11"/>
  <c r="AC88" i="11"/>
  <c r="BD88" i="11"/>
  <c r="BE88" i="11"/>
  <c r="BD89" i="11"/>
  <c r="BE89" i="11"/>
  <c r="BD90" i="11"/>
  <c r="BE90" i="11"/>
  <c r="Y91" i="11"/>
  <c r="BD91" i="11"/>
  <c r="BE91" i="11"/>
  <c r="BC93" i="11"/>
</calcChain>
</file>

<file path=xl/comments1.xml><?xml version="1.0" encoding="utf-8"?>
<comments xmlns="http://schemas.openxmlformats.org/spreadsheetml/2006/main">
  <authors>
    <author>Paulo Henrique Frediani de Moura</author>
    <author>Administrador</author>
  </authors>
  <commentList>
    <comment ref="U35" authorId="0" shapeId="0">
      <text>
        <r>
          <rPr>
            <b/>
            <sz val="9"/>
            <color indexed="81"/>
            <rFont val="Tahoma"/>
            <family val="2"/>
          </rPr>
          <t>CAIXA:</t>
        </r>
        <r>
          <rPr>
            <sz val="9"/>
            <color indexed="81"/>
            <rFont val="Tahoma"/>
            <family val="2"/>
          </rPr>
          <t xml:space="preserve">
Campo de preenchimento opcional, com inclusão solicitada por algumas GIHAB.</t>
        </r>
      </text>
    </comment>
    <comment ref="I52" authorId="0" shapeId="0">
      <text>
        <r>
          <rPr>
            <b/>
            <sz val="9"/>
            <color indexed="81"/>
            <rFont val="Tahoma"/>
            <family val="2"/>
          </rPr>
          <t>CAIXA:</t>
        </r>
        <r>
          <rPr>
            <sz val="9"/>
            <color indexed="81"/>
            <rFont val="Tahoma"/>
            <family val="2"/>
          </rPr>
          <t xml:space="preserve">
não é o valor do financiamento, apenas do terreno/imóvel proposto.</t>
        </r>
      </text>
    </comment>
    <comment ref="AS74" authorId="1" shapeId="0">
      <text>
        <r>
          <rPr>
            <b/>
            <sz val="9"/>
            <color indexed="81"/>
            <rFont val="Segoe UI"/>
            <family val="2"/>
          </rPr>
          <t>Administrador:</t>
        </r>
        <r>
          <rPr>
            <sz val="9"/>
            <color indexed="81"/>
            <rFont val="Segoe UI"/>
            <family val="2"/>
          </rPr>
          <t xml:space="preserve">
Etapa que deveria estar completa, conforme previsto no cronograma.</t>
        </r>
      </text>
    </comment>
  </commentList>
</comments>
</file>

<file path=xl/sharedStrings.xml><?xml version="1.0" encoding="utf-8"?>
<x:sst xmlns:x="http://schemas.openxmlformats.org/spreadsheetml/2006/main" count="137" uniqueCount="137">
  <x:si>
    <x:t>endfim3</x:t>
  </x:si>
  <x:si>
    <x:t>endfim4</x:t>
  </x:si>
  <x:si>
    <x:t>resp</x:t>
  </x:si>
  <x:si>
    <x:t>ocultar</x:t>
  </x:si>
  <x:si>
    <x:t>lista</x:t>
  </x:si>
  <x:si>
    <x:t>form</x:t>
  </x:si>
  <x:si>
    <x:t>end</x:t>
  </x:si>
  <x:si>
    <x:t>Modelos Padronizados Caixa</x:t>
  </x:si>
  <x:si>
    <x:t>Orientações para Preenchimento</x:t>
  </x:si>
  <x:si>
    <x:t>(versão com macros, testadas nas versões Excel 2003 a 2013)</x:t>
  </x:si>
  <x:si>
    <x:t>Prezado(a) Credenciado(a),</x:t>
  </x:si>
  <x:si>
    <x:t>Oriente-se pelo seguinte esquema de cores para o preenchimento de informações:</x:t>
  </x:si>
  <x:si>
    <x:t>utilize os campos em roxo claro; se houver borda laranja, selecione uma opção pré-cadastrada; quando for borda cinza, digite a informação solicitada.</x:t>
  </x:si>
  <x:si>
    <x:t>Sim</x:t>
  </x:si>
  <x:si>
    <x:t>►</x:t>
  </x:si>
  <x:si>
    <x:r>
      <x:rPr>
        <x:vertAlign val="baseline"/>
        <x:sz val="9"/>
        <x:color rgb="FF000000"/>
        <x:rFont val="Arial"/>
        <x:family val="2"/>
      </x:rPr>
      <x:t>quadrinhos pretinhos</x:t>
    </x:r>
    <x:r>
      <x:rPr>
        <x:vertAlign val="baseline"/>
        <x:sz val="9"/>
        <x:color rgb="FF000000"/>
        <x:rFont val="Arial"/>
        <x:family val="2"/>
      </x:rPr>
      <x:t xml:space="preserve">; clique no quadrinho correspondente à resposta correta; a seleção de uma resposta, </x:t>
    </x:r>
    <x:r>
      <x:rPr>
        <x:b/>
        <x:vertAlign val="baseline"/>
        <x:sz val="9"/>
        <x:color rgb="FF000000"/>
        <x:rFont val="Arial"/>
        <x:family val="2"/>
      </x:rPr>
      <x:t>normalmente,</x:t>
    </x:r>
    <x:r>
      <x:rPr>
        <x:vertAlign val="baseline"/>
        <x:sz val="9"/>
        <x:color rgb="FF000000"/>
        <x:rFont val="Arial"/>
        <x:family val="2"/>
      </x:rPr>
      <x:t xml:space="preserve"> anula outra do mesmo grupo, exceto quando a pergunta admitir mais de uma resposta; selecionar uma resposta já selecionada anula esta mesma (desmarca a resposta já selecionada).</x:t>
    </x:r>
  </x:si>
  <x:si>
    <x:t>Não modifique nada em campos de outras cores (branco, cinza, preto, hachurado...): eles podem conter fórmulas importantes, que invalidem o modelo se forem apagados.</x:t>
  </x:si>
  <x:si>
    <x:t>Proposta de Financiamento de Unidade Isolada</x:t>
  </x:si>
  <x:si>
    <x:t>Observações:</x:t>
  </x:si>
  <x:si>
    <x:t>1.01</x:t>
  </x:si>
  <x:si>
    <x:r>
      <x:rPr>
        <x:vertAlign val="baseline"/>
        <x:sz val="9"/>
        <x:color rgb="FF000000"/>
        <x:rFont val="Arial"/>
        <x:family val="2"/>
      </x:rPr>
      <x:t xml:space="preserve">Preencha </x:t>
    </x:r>
    <x:r>
      <x:rPr>
        <x:b/>
        <x:vertAlign val="baseline"/>
        <x:sz val="9"/>
        <x:color rgb="FF000000"/>
        <x:rFont val="Arial"/>
        <x:family val="2"/>
      </x:rPr>
      <x:t>todos os campos em roxo claro</x:t>
    </x:r>
    <x:r>
      <x:rPr>
        <x:vertAlign val="baseline"/>
        <x:sz val="9"/>
        <x:color rgb="FF000000"/>
        <x:rFont val="Arial"/>
        <x:family val="2"/>
      </x:rPr>
      <x:t>, podendo ignorar aqueles marcados como opcionais, utilizando o arquivo do proponente como origem de dados (o processo de importação de dados foi eliminado, face às constante dificuldades apresentadas por proponentes e analistas, sob as mais diversas formas).</x:t>
    </x:r>
  </x:si>
  <x:si>
    <x:t>1.02</x:t>
  </x:si>
  <x:si>
    <x:r>
      <x:rPr>
        <x:vertAlign val="baseline"/>
        <x:sz val="9"/>
        <x:color rgb="FF000000"/>
        <x:rFont val="Arial"/>
        <x:family val="2"/>
      </x:rPr>
      <x:t xml:space="preserve">Caso o proponente não tenha preenchido todos os dados, solicite ao mesmo a </x:t>
    </x:r>
    <x:r>
      <x:rPr>
        <x:b/>
        <x:vertAlign val="baseline"/>
        <x:sz val="9"/>
        <x:color rgb="FF000000"/>
        <x:rFont val="Arial"/>
        <x:family val="2"/>
      </x:rPr>
      <x:t>complementação da informação</x:t>
    </x:r>
    <x:r>
      <x:rPr>
        <x:vertAlign val="baseline"/>
        <x:sz val="9"/>
        <x:color rgb="FF000000"/>
        <x:rFont val="Arial"/>
        <x:family val="2"/>
      </x:rPr>
      <x:t xml:space="preserve">, se esta for fundamental para a análise, ou identifique com </x:t>
    </x:r>
    <x:r>
      <x:rPr>
        <x:b/>
        <x:vertAlign val="baseline"/>
        <x:sz val="9"/>
        <x:color rgb="FF000000"/>
        <x:rFont val="Arial"/>
        <x:family val="2"/>
      </x:rPr>
      <x:t>nulo</x:t>
    </x:r>
    <x:r>
      <x:rPr>
        <x:vertAlign val="baseline"/>
        <x:sz val="9"/>
        <x:color rgb="FF000000"/>
        <x:rFont val="Arial"/>
        <x:family val="2"/>
      </x:rPr>
      <x:t xml:space="preserve"> ou </x:t>
    </x:r>
    <x:r>
      <x:rPr>
        <x:b/>
        <x:vertAlign val="baseline"/>
        <x:sz val="9"/>
        <x:color rgb="FF000000"/>
        <x:rFont val="Arial"/>
        <x:family val="2"/>
      </x:rPr>
      <x:t>prejudicado,</x:t>
    </x:r>
    <x:r>
      <x:rPr>
        <x:vertAlign val="baseline"/>
        <x:sz val="9"/>
        <x:color rgb="FF000000"/>
        <x:rFont val="Arial"/>
        <x:family val="2"/>
      </x:rPr>
      <x:t xml:space="preserve"> no caso de a informação ser dispensável ou irrelevante para a análise.</x:t>
    </x:r>
  </x:si>
  <x:si>
    <x:t>1.03</x:t>
  </x:si>
  <x:si>
    <x:r>
      <x:rPr>
        <x:vertAlign val="baseline"/>
        <x:sz val="9"/>
        <x:color rgb="FF000000"/>
        <x:rFont val="Arial"/>
        <x:family val="2"/>
      </x:rPr>
      <x:t xml:space="preserve">Para acrescentar fotos ao </x:t>
    </x:r>
    <x:r>
      <x:rPr>
        <x:b/>
        <x:vertAlign val="baseline"/>
        <x:sz val="9"/>
        <x:color rgb="FF000000"/>
        <x:rFont val="Arial"/>
        <x:family val="2"/>
      </x:rPr>
      <x:t>Relatório Fotográfico</x:t>
    </x:r>
    <x:r>
      <x:rPr>
        <x:vertAlign val="baseline"/>
        <x:sz val="9"/>
        <x:color rgb="FF000000"/>
        <x:rFont val="Arial"/>
        <x:family val="2"/>
      </x:rPr>
      <x:t xml:space="preserve">, que se encontra ao final desta planilha, clique na </x:t>
    </x:r>
    <x:r>
      <x:rPr>
        <x:b/>
        <x:vertAlign val="baseline"/>
        <x:sz val="9"/>
        <x:color rgb="FF000000"/>
        <x:rFont val="Arial"/>
        <x:family val="2"/>
      </x:rPr>
      <x:t>seta azul</x:t>
    </x:r>
    <x:r>
      <x:rPr>
        <x:vertAlign val="baseline"/>
        <x:sz val="9"/>
        <x:color rgb="FF000000"/>
        <x:rFont val="Arial"/>
        <x:family val="2"/>
      </x:rPr>
      <x:t xml:space="preserve"> apontada para baixo e </x:t>
    </x:r>
    <x:r>
      <x:rPr>
        <x:b/>
        <x:vertAlign val="baseline"/>
        <x:sz val="9"/>
        <x:color rgb="FF000000"/>
        <x:rFont val="Arial"/>
        <x:family val="2"/>
      </x:rPr>
      <x:t>escolha o devido arquivo</x:t>
    </x:r>
    <x:r>
      <x:rPr>
        <x:vertAlign val="baseline"/>
        <x:sz val="9"/>
        <x:color rgb="FF000000"/>
        <x:rFont val="Arial"/>
        <x:family val="2"/>
      </x:rPr>
      <x:t>.</x:t>
    </x:r>
  </x:si>
  <x:si>
    <x:t>1.04</x:t>
  </x:si>
  <x:si>
    <x:r>
      <x:rPr>
        <x:vertAlign val="baseline"/>
        <x:sz val="9"/>
        <x:color rgb="FF000000"/>
        <x:rFont val="Arial"/>
        <x:family val="2"/>
      </x:rPr>
      <x:t xml:space="preserve">Para </x:t>
    </x:r>
    <x:r>
      <x:rPr>
        <x:b/>
        <x:vertAlign val="baseline"/>
        <x:sz val="9"/>
        <x:color rgb="FF000000"/>
        <x:rFont val="Arial"/>
        <x:family val="2"/>
      </x:rPr>
      <x:t>inverter a proporção da foto</x:t>
    </x:r>
    <x:r>
      <x:rPr>
        <x:vertAlign val="baseline"/>
        <x:sz val="9"/>
        <x:color rgb="FF000000"/>
        <x:rFont val="Arial"/>
        <x:family val="2"/>
      </x:rPr>
      <x:t xml:space="preserve">, de horizontal para vertical, basta </x:t>
    </x:r>
    <x:r>
      <x:rPr>
        <x:b/>
        <x:vertAlign val="baseline"/>
        <x:sz val="9"/>
        <x:color rgb="FF000000"/>
        <x:rFont val="Arial"/>
        <x:family val="2"/>
      </x:rPr>
      <x:t>clicar na mesma</x:t>
    </x:r>
    <x:r>
      <x:rPr>
        <x:vertAlign val="baseline"/>
        <x:sz val="9"/>
        <x:color rgb="FF000000"/>
        <x:rFont val="Arial"/>
        <x:family val="2"/>
      </x:rPr>
      <x:t>.</x:t>
    </x:r>
  </x:si>
  <x:si>
    <x:t>1.05</x:t>
  </x:si>
  <x:si>
    <x:r>
      <x:rPr>
        <x:vertAlign val="baseline"/>
        <x:sz val="9"/>
        <x:color rgb="FF000000"/>
        <x:rFont val="Arial"/>
        <x:family val="2"/>
      </x:rPr>
      <x:t xml:space="preserve">Para </x:t>
    </x:r>
    <x:r>
      <x:rPr>
        <x:b/>
        <x:vertAlign val="baseline"/>
        <x:sz val="9"/>
        <x:color rgb="FF000000"/>
        <x:rFont val="Arial"/>
        <x:family val="2"/>
      </x:rPr>
      <x:t xml:space="preserve">eliminar a foto </x:t>
    </x:r>
    <x:r>
      <x:rPr>
        <x:vertAlign val="baseline"/>
        <x:sz val="9"/>
        <x:color rgb="FF000000"/>
        <x:rFont val="Arial"/>
        <x:family val="2"/>
      </x:rPr>
      <x:t xml:space="preserve">inserida, </x:t>
    </x:r>
    <x:r>
      <x:rPr>
        <x:b/>
        <x:vertAlign val="baseline"/>
        <x:sz val="9"/>
        <x:color rgb="FF000000"/>
        <x:rFont val="Arial"/>
        <x:family val="2"/>
      </x:rPr>
      <x:t>clique no círculo com o "xis" vermelho</x:t>
    </x:r>
    <x:r>
      <x:rPr>
        <x:vertAlign val="baseline"/>
        <x:sz val="9"/>
        <x:color rgb="FF000000"/>
        <x:rFont val="Arial"/>
        <x:family val="2"/>
      </x:rPr>
      <x:t>.</x:t>
    </x:r>
  </x:si>
  <x:si>
    <x:t>1.06</x:t>
  </x:si>
  <x:si>
    <x:r>
      <x:rPr>
        <x:vertAlign val="baseline"/>
        <x:sz val="9"/>
        <x:color rgb="FF000000"/>
        <x:rFont val="Arial"/>
        <x:family val="2"/>
      </x:rPr>
      <x:t xml:space="preserve">Os documentos devem ser </x:t>
    </x:r>
    <x:r>
      <x:rPr>
        <x:b/>
        <x:vertAlign val="baseline"/>
        <x:sz val="9"/>
        <x:color rgb="FF000000"/>
        <x:rFont val="Arial"/>
        <x:family val="2"/>
      </x:rPr>
      <x:t>entregues em arquivo digital e também impressos e assinados</x:t>
    </x:r>
    <x:r>
      <x:rPr>
        <x:vertAlign val="baseline"/>
        <x:sz val="9"/>
        <x:color rgb="FF000000"/>
        <x:rFont val="Arial"/>
        <x:family val="2"/>
      </x:rPr>
      <x:t>.</x:t>
    </x:r>
  </x:si>
  <x:si>
    <x:t>1.07</x:t>
  </x:si>
  <x:si>
    <x:t>Sugerimos sempre guardar o arquivo original em uma pasta segura e preencher uma cópia deste, de forma a garantir a existência de um modelo válido, no caso de um erro qualquer no preenchimento dos dados.</x:t>
  </x:si>
  <x:si>
    <x:t>1.08</x:t>
  </x:si>
  <x:si>
    <x:t>Em caso de dúvidas, solicite outro formulário original à sua GIHAB de atendimento.</x:t>
  </x:si>
  <x:si>
    <x:t>G</x:t>
  </x:si>
  <x:si>
    <x:t>AW</x:t>
  </x:si>
  <x:si>
    <x:t>0.03</x:t>
  </x:si>
  <x:si>
    <x:t>Contrato</x:t>
  </x:si>
  <x:si>
    <x:t>0.02</x:t>
  </x:si>
  <x:si>
    <x:t>Autorização de Serviço</x:t>
  </x:si>
  <x:si>
    <x:t>Grau de sigilo</x:t>
  </x:si>
  <x:si>
    <x:t>3587/2020</x:t>
  </x:si>
  <x:si>
    <x:t>#CONFIDENCIAL 5</x:t>
  </x:si>
  <x:si>
    <x:t>Análise de Financiamento de Unidade Isolada</x:t>
  </x:si>
  <x:si>
    <x:t xml:space="preserve">Relatório de Acompanhamento de Evolução de Obra – RAE </x:t>
  </x:si>
  <x:si>
    <x:t>PROPOSTA</x:t>
  </x:si>
  <x:si>
    <x:t>endfim0</x:t>
  </x:si>
  <x:si>
    <x:t>Proponente</x:t>
  </x:si>
  <x:si>
    <x:t>1.09</x:t>
  </x:si>
  <x:si>
    <x:t>CPF Prop.</x:t>
  </x:si>
  <x:si>
    <x:t>1.10</x:t>
  </x:si>
  <x:si>
    <x:t>Telefone Prop.</x:t>
  </x:si>
  <x:si>
    <x:t>PATRICIO DOS SANTOS</x:t>
  </x:si>
  <x:si>
    <x:t>256.280.788-08</x:t>
  </x:si>
  <x:si>
    <x:t>99796-3533</x:t>
  </x:si>
  <x:si>
    <x:t>1.53</x:t>
  </x:si>
  <x:si>
    <x:t xml:space="preserve">Responsável Técnico - RT </x:t>
  </x:si>
  <x:si>
    <x:t>1.54</x:t>
  </x:si>
  <x:si>
    <x:t>Nº CAU/CREA</x:t>
  </x:si>
  <x:si>
    <x:t>UF</x:t>
  </x:si>
  <x:si>
    <x:t>1.55</x:t>
  </x:si>
  <x:si>
    <x:t>CPF RT</x:t>
  </x:si>
  <x:si>
    <x:t>1.56</x:t>
  </x:si>
  <x:si>
    <x:t>Telefone RT</x:t>
  </x:si>
  <x:si>
    <x:t>ROBERTA CUSTÓDIO ZULIANI</x:t>
  </x:si>
  <x:si>
    <x:t>5.070.341.554</x:t>
  </x:si>
  <x:si>
    <x:t>SP</x:t>
  </x:si>
  <x:si>
    <x:t>414.542.308-94</x:t>
  </x:si>
  <x:si>
    <x:t>99866-4850</x:t>
  </x:si>
  <x:si>
    <x:t>Identificação do imóvel proposto</x:t>
  </x:si>
  <x:si>
    <x:t>1.20</x:t>
  </x:si>
  <x:si>
    <x:t>Endereço</x:t>
  </x:si>
  <x:si>
    <x:t>1.21</x:t>
  </x:si>
  <x:si>
    <x:t>Complemento</x:t>
  </x:si>
  <x:si>
    <x:t>RUA - 15 DE AGOSTO - QUADRA 119 - LOTE 154</x:t>
  </x:si>
  <x:si>
    <x:t>TERRENO SEM BENFEITORIAS</x:t>
  </x:si>
  <x:si>
    <x:t>1.22</x:t>
  </x:si>
  <x:si>
    <x:t>Bairro</x:t>
  </x:si>
  <x:si>
    <x:t>1.23</x:t>
  </x:si>
  <x:si>
    <x:t>CEP</x:t>
  </x:si>
  <x:si>
    <x:t>1.25</x:t>
  </x:si>
  <x:si>
    <x:t>Município</x:t>
  </x:si>
  <x:si>
    <x:t>1.26</x:t>
  </x:si>
  <x:si>
    <x:t>RESIDENCIAL JOSE VELOSO DIAS</x:t>
  </x:si>
  <x:si>
    <x:t>17192-038</x:t>
  </x:si>
  <x:si>
    <x:t>REGINÓPOLIS</x:t>
  </x:si>
  <x:si>
    <x:t>1.84</x:t>
  </x:si>
  <x:si>
    <x:t>Valor proposto do terreno</x:t>
  </x:si>
  <x:si>
    <x:t>1.85</x:t>
  </x:si>
  <x:si>
    <x:t>Matrícula</x:t>
  </x:si>
  <x:si>
    <x:t>1.86</x:t>
  </x:si>
  <x:si>
    <x:t>Ofício</x:t>
  </x:si>
  <x:si>
    <x:t>1.87</x:t>
  </x:si>
  <x:si>
    <x:t>Comarca</x:t>
  </x:si>
  <x:si>
    <x:t>1.88</x:t>
  </x:si>
  <x:si>
    <x:t>43.000,00</x:t>
  </x:si>
  <x:si>
    <x:t>O.R.I.</x:t>
  </x:si>
  <x:si>
    <x:t>PIRAJUÍ</x:t>
  </x:si>
  <x:si>
    <x:t>1.44</x:t>
  </x:si>
  <x:si>
    <x:t>Tipo do imóvel proposto:</x:t>
  </x:si>
  <x:si>
    <x:t>1.44.01</x:t>
  </x:si>
  <x:si>
    <x:t>Casa</x:t>
  </x:si>
  <x:si>
    <x:t>1.44.02</x:t>
  </x:si>
  <x:si>
    <x:t>Apartamento</x:t>
  </x:si>
  <x:si>
    <x:t>1.44.03</x:t>
  </x:si>
  <x:si>
    <x:t>Outro, especificar:</x:t>
  </x:si>
  <x:si>
    <x:t>1.45</x:t>
  </x:si>
  <x:si>
    <x:t>Uso do imóvel proposto:</x:t>
  </x:si>
  <x:si>
    <x:t>1.45.01</x:t>
  </x:si>
  <x:si>
    <x:t>Residencial</x:t>
  </x:si>
  <x:si>
    <x:t>1.45.02</x:t>
  </x:si>
  <x:si>
    <x:t>Comercial</x:t>
  </x:si>
  <x:si>
    <x:t>1.45.03</x:t>
  </x:si>
  <x:si>
    <x:t>Misto</x:t>
  </x:si>
  <x:si>
    <x:t>Cronograma Físico Financeiro</x:t>
  </x:si>
  <x:si>
    <x:t>Cronograma Previsto</x:t>
  </x:si>
  <x:si>
    <x:t>endfim2</x:t>
  </x:si>
  <x:si>
    <x:t>RELATÓRIO DE ACOMPANHAMENTO DE EVOLUÇÃO DE OBRA – RAE</x:t>
  </x:si>
  <x:si>
    <x:t>Parcela</x:t>
  </x:si>
  <x:si>
    <x:t>Executado mês</x:t>
  </x:si>
  <x:si>
    <x:t>Acumulado</x:t>
  </x:si>
  <x:si>
    <x:t>Mês Executado</x:t>
  </x:si>
  <x:si>
    <x:t>Parcela atual</x:t>
  </x:si>
  <x:si>
    <x:t>HABITAÇÃO</x:t>
  </x:si>
  <x:si>
    <x:t>DATAS &amp; QUALIDADE</x:t>
  </x:si>
  <x:si>
    <x:t>Executado</x:t>
  </x:si>
  <x:si>
    <x:t>Etapa prevista</x:t>
  </x:si>
  <x:si>
    <x:t>Etapa efetiva</x:t>
  </x:si>
  <x:si>
    <x:t>Serviços</x:t>
  </x:si>
  <x:si>
    <x:t>Inci-dência</x:t>
  </x:si>
  <x:si>
    <x:t>Execu-ção do Item</x:t>
  </x:si>
  <x:si>
    <x:t>Execu-ção na Obra</x:t>
  </x:si>
  <x:si>
    <x:t>Contrato / Início</x:t>
  </x:si>
  <x:si>
    <x:t>Término Previsto</x:t>
  </x:si>
  <x:si>
    <x:t>Parcela prevista</x:t>
  </x:si>
  <x:si>
    <x:t>Percentual de conclusão</x:t>
  </x:si>
</x:sst>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78" formatCode=";;"/>
    <numFmt numFmtId="179" formatCode=";;;"/>
    <numFmt numFmtId="203" formatCode="00"/>
    <numFmt numFmtId="210" formatCode="0000"/>
    <numFmt numFmtId="211" formatCode="000000000"/>
    <numFmt numFmtId="212" formatCode="#####\-####"/>
    <numFmt numFmtId="215" formatCode="0.00&quot;%&quot;"/>
    <numFmt numFmtId="216" formatCode="000&quot;.&quot;000&quot;.&quot;000&quot;-&quot;00"/>
    <numFmt numFmtId="217" formatCode="00000\-000"/>
    <numFmt numFmtId="218" formatCode="00&quot;.&quot;000&quot;.&quot;000&quot;/&quot;0000&quot;-&quot;00"/>
  </numFmts>
  <fonts count="31" x14ac:knownFonts="1">
    <font>
      <sz val="10"/>
      <name val="Arial"/>
    </font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1"/>
      <name val="Arial"/>
      <family val="2"/>
    </font>
    <font>
      <sz val="8"/>
      <color indexed="10"/>
      <name val="Arial"/>
      <family val="2"/>
    </font>
    <font>
      <sz val="10"/>
      <color indexed="10"/>
      <name val="Arial"/>
      <family val="2"/>
    </font>
    <font>
      <sz val="8"/>
      <name val="Arial"/>
      <family val="2"/>
    </font>
    <font>
      <b/>
      <sz val="12"/>
      <name val="Trebuchet MS"/>
      <family val="2"/>
    </font>
    <font>
      <sz val="10"/>
      <name val="Trebuchet MS"/>
      <family val="2"/>
    </font>
    <font>
      <sz val="6"/>
      <name val="Arial"/>
      <family val="2"/>
    </font>
    <font>
      <sz val="9"/>
      <name val="Arial"/>
      <family val="2"/>
    </font>
    <font>
      <b/>
      <sz val="8"/>
      <name val="Trebuchet MS"/>
      <family val="2"/>
    </font>
    <font>
      <b/>
      <sz val="6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7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b/>
      <sz val="11"/>
      <name val="Trebuchet MS"/>
      <family val="2"/>
    </font>
    <font>
      <sz val="9"/>
      <name val="Trebuchet MS"/>
      <family val="2"/>
    </font>
    <font>
      <b/>
      <sz val="9"/>
      <color indexed="9"/>
      <name val="Arial"/>
      <family val="2"/>
    </font>
    <font>
      <b/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10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8"/>
      <color indexed="10"/>
      <name val="Arial"/>
      <family val="2"/>
    </font>
    <font>
      <b/>
      <sz val="8"/>
      <name val="Arial"/>
      <family val="2"/>
    </font>
    <font>
      <sz val="10"/>
      <color indexed="45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9"/>
        <bgColor indexed="64"/>
      </patternFill>
    </fill>
    <fill>
      <patternFill patternType="lightDown">
        <fgColor indexed="44"/>
      </patternFill>
    </fill>
    <fill>
      <patternFill patternType="solid">
        <fgColor indexed="50"/>
        <bgColor indexed="64"/>
      </patternFill>
    </fill>
    <fill>
      <patternFill patternType="lightDown"/>
    </fill>
    <fill>
      <patternFill patternType="solid">
        <fgColor indexed="22"/>
        <bgColor indexed="64"/>
      </patternFill>
    </fill>
  </fills>
  <borders count="57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22"/>
      </left>
      <right/>
      <top style="thin">
        <color indexed="22"/>
      </top>
      <bottom style="thin">
        <color indexed="64"/>
      </bottom>
      <diagonal/>
    </border>
    <border>
      <left style="thin">
        <color indexed="22"/>
      </left>
      <right style="thin">
        <color indexed="64"/>
      </right>
      <top style="thin">
        <color indexed="22"/>
      </top>
      <bottom style="thin">
        <color indexed="64"/>
      </bottom>
      <diagonal/>
    </border>
    <border>
      <left style="medium">
        <color indexed="12"/>
      </left>
      <right/>
      <top/>
      <bottom/>
      <diagonal/>
    </border>
    <border>
      <left style="thin">
        <color indexed="22"/>
      </left>
      <right/>
      <top/>
      <bottom style="thin">
        <color indexed="64"/>
      </bottom>
      <diagonal/>
    </border>
    <border>
      <left style="thin">
        <color indexed="22"/>
      </left>
      <right/>
      <top style="thin">
        <color indexed="64"/>
      </top>
      <bottom/>
      <diagonal/>
    </border>
    <border>
      <left/>
      <right style="thin">
        <color indexed="22"/>
      </right>
      <top/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/>
      <right/>
      <top style="thin">
        <color indexed="55"/>
      </top>
      <bottom style="medium">
        <color indexed="55"/>
      </bottom>
      <diagonal/>
    </border>
    <border>
      <left/>
      <right style="medium">
        <color indexed="55"/>
      </right>
      <top style="thin">
        <color indexed="55"/>
      </top>
      <bottom style="medium">
        <color indexed="55"/>
      </bottom>
      <diagonal/>
    </border>
    <border>
      <left/>
      <right/>
      <top/>
      <bottom style="thin">
        <color indexed="22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/>
      <diagonal/>
    </border>
    <border>
      <left style="thin">
        <color indexed="22"/>
      </left>
      <right/>
      <top/>
      <bottom/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52"/>
      </top>
      <bottom style="thin">
        <color indexed="22"/>
      </bottom>
      <diagonal/>
    </border>
    <border>
      <left/>
      <right/>
      <top style="thin">
        <color indexed="52"/>
      </top>
      <bottom style="thin">
        <color indexed="22"/>
      </bottom>
      <diagonal/>
    </border>
    <border>
      <left/>
      <right style="thin">
        <color indexed="22"/>
      </right>
      <top style="thin">
        <color indexed="5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64"/>
      </bottom>
      <diagonal/>
    </border>
    <border>
      <left style="thin">
        <color indexed="52"/>
      </left>
      <right style="thin">
        <color indexed="64"/>
      </right>
      <top style="thin">
        <color indexed="52"/>
      </top>
      <bottom style="thin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52"/>
      </top>
      <bottom style="thin">
        <color indexed="52"/>
      </bottom>
      <diagonal/>
    </border>
    <border>
      <left style="thin">
        <color indexed="64"/>
      </left>
      <right style="thin">
        <color indexed="52"/>
      </right>
      <top style="thin">
        <color indexed="52"/>
      </top>
      <bottom style="thin">
        <color indexed="5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 style="thin">
        <color indexed="22"/>
      </top>
      <bottom style="thin">
        <color indexed="64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 style="thin">
        <color indexed="52"/>
      </top>
      <bottom style="thin">
        <color indexed="52"/>
      </bottom>
      <diagonal/>
    </border>
    <border>
      <left style="thin">
        <color indexed="52"/>
      </left>
      <right/>
      <top style="thin">
        <color indexed="52"/>
      </top>
      <bottom style="thin">
        <color indexed="52"/>
      </bottom>
      <diagonal/>
    </border>
    <border>
      <left/>
      <right style="thin">
        <color indexed="52"/>
      </right>
      <top style="thin">
        <color indexed="52"/>
      </top>
      <bottom style="thin">
        <color indexed="52"/>
      </bottom>
      <diagonal/>
    </border>
    <border>
      <left/>
      <right style="thin">
        <color rgb="FFC0C0C0"/>
      </right>
      <top style="thin">
        <color rgb="FF969696"/>
      </top>
      <bottom style="thin">
        <color rgb="FF969696"/>
      </bottom>
      <diagonal/>
    </border>
    <border>
      <left style="thin">
        <color rgb="FFC0C0C0"/>
      </left>
      <right style="thin">
        <color rgb="FFC0C0C0"/>
      </right>
      <top style="thin">
        <color rgb="FF969696"/>
      </top>
      <bottom style="thin">
        <color rgb="FF969696"/>
      </bottom>
      <diagonal/>
    </border>
    <border>
      <left style="thin">
        <color rgb="FFC0C0C0"/>
      </left>
      <right/>
      <top style="thin">
        <color rgb="FF969696"/>
      </top>
      <bottom style="thin">
        <color rgb="FF969696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rgb="FFFF9900"/>
      </left>
      <right style="thin">
        <color indexed="64"/>
      </right>
      <top style="thin">
        <color rgb="FFFF9900"/>
      </top>
      <bottom style="thin">
        <color rgb="FFFF9900"/>
      </bottom>
      <diagonal/>
    </border>
    <border>
      <left style="thin">
        <color indexed="64"/>
      </left>
      <right style="thin">
        <color indexed="64"/>
      </right>
      <top style="thin">
        <color rgb="FFFF9900"/>
      </top>
      <bottom style="thin">
        <color rgb="FFFF9900"/>
      </bottom>
      <diagonal/>
    </border>
    <border>
      <left style="thin">
        <color indexed="64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/>
      <right/>
      <top/>
      <bottom style="thin">
        <color rgb="FFC0C0C0"/>
      </bottom>
      <diagonal/>
    </border>
    <border>
      <left/>
      <right/>
      <top style="thin">
        <color rgb="FFC0C0C0"/>
      </top>
      <bottom style="thin">
        <color rgb="FFC0C0C0"/>
      </bottom>
      <diagonal/>
    </border>
  </borders>
  <cellStyleXfs count="4">
    <xf numFmtId="0" fontId="0" fillId="0" borderId="0"/>
    <xf numFmtId="0" fontId="1" fillId="2" borderId="0"/>
    <xf numFmtId="0" fontId="1" fillId="0" borderId="0"/>
    <xf numFmtId="0" fontId="11" fillId="0" borderId="0"/>
  </cellStyleXfs>
  <cellXfs count="344">
    <xf numFmtId="0" fontId="0" fillId="0" borderId="0" xfId="0"/>
    <xf numFmtId="0" fontId="4" fillId="0" borderId="0" xfId="2" applyFont="1" applyAlignment="1" applyProtection="1">
      <alignment vertical="center"/>
    </xf>
    <xf numFmtId="0" fontId="8" fillId="0" borderId="2" xfId="2" applyFont="1" applyFill="1" applyBorder="1" applyAlignment="1" applyProtection="1">
      <alignment vertical="center"/>
    </xf>
    <xf numFmtId="0" fontId="2" fillId="0" borderId="0" xfId="2" applyFont="1" applyProtection="1"/>
    <xf numFmtId="0" fontId="9" fillId="0" borderId="0" xfId="2" applyFont="1" applyFill="1" applyBorder="1" applyAlignment="1" applyProtection="1">
      <alignment vertical="center"/>
    </xf>
    <xf numFmtId="0" fontId="16" fillId="0" borderId="0" xfId="2" applyNumberFormat="1" applyFont="1" applyAlignment="1" applyProtection="1">
      <alignment horizontal="right"/>
    </xf>
    <xf numFmtId="0" fontId="16" fillId="0" borderId="0" xfId="2" applyNumberFormat="1" applyFont="1" applyAlignment="1" applyProtection="1">
      <alignment horizontal="right" vertical="center"/>
    </xf>
    <xf numFmtId="0" fontId="5" fillId="0" borderId="0" xfId="2" applyFont="1" applyFill="1" applyAlignment="1" applyProtection="1">
      <alignment vertical="center"/>
    </xf>
    <xf numFmtId="0" fontId="6" fillId="0" borderId="0" xfId="2" applyFont="1" applyFill="1" applyAlignment="1" applyProtection="1">
      <alignment vertical="center"/>
    </xf>
    <xf numFmtId="0" fontId="2" fillId="0" borderId="0" xfId="2" applyFont="1" applyFill="1" applyAlignment="1" applyProtection="1">
      <alignment vertical="center"/>
    </xf>
    <xf numFmtId="0" fontId="4" fillId="0" borderId="0" xfId="2" applyFont="1" applyFill="1" applyAlignment="1" applyProtection="1">
      <alignment vertical="center"/>
    </xf>
    <xf numFmtId="0" fontId="8" fillId="0" borderId="0" xfId="2" applyFont="1" applyFill="1" applyBorder="1" applyAlignment="1" applyProtection="1">
      <alignment vertical="center"/>
    </xf>
    <xf numFmtId="0" fontId="16" fillId="0" borderId="0" xfId="2" applyNumberFormat="1" applyFont="1" applyAlignment="1" applyProtection="1">
      <alignment horizontal="right" vertical="top"/>
    </xf>
    <xf numFmtId="0" fontId="9" fillId="0" borderId="3" xfId="2" applyFont="1" applyFill="1" applyBorder="1" applyAlignment="1" applyProtection="1">
      <alignment vertical="center"/>
    </xf>
    <xf numFmtId="0" fontId="2" fillId="0" borderId="0" xfId="2" applyFont="1" applyFill="1" applyBorder="1" applyAlignment="1" applyProtection="1">
      <alignment horizontal="left"/>
    </xf>
    <xf numFmtId="0" fontId="2" fillId="0" borderId="0" xfId="2" applyFont="1" applyFill="1" applyProtection="1"/>
    <xf numFmtId="0" fontId="7" fillId="0" borderId="0" xfId="2" applyFont="1" applyFill="1" applyProtection="1"/>
    <xf numFmtId="0" fontId="15" fillId="0" borderId="0" xfId="2" applyFont="1" applyFill="1" applyAlignment="1" applyProtection="1">
      <alignment horizontal="left"/>
    </xf>
    <xf numFmtId="0" fontId="7" fillId="0" borderId="0" xfId="2" applyFont="1" applyFill="1" applyBorder="1" applyProtection="1"/>
    <xf numFmtId="0" fontId="16" fillId="0" borderId="0" xfId="2" applyNumberFormat="1" applyFont="1" applyBorder="1" applyAlignment="1" applyProtection="1">
      <alignment horizontal="right"/>
    </xf>
    <xf numFmtId="0" fontId="15" fillId="0" borderId="0" xfId="2" applyFont="1" applyFill="1" applyProtection="1"/>
    <xf numFmtId="0" fontId="16" fillId="0" borderId="0" xfId="2" applyFont="1" applyFill="1" applyAlignment="1" applyProtection="1">
      <alignment vertical="center"/>
    </xf>
    <xf numFmtId="0" fontId="16" fillId="0" borderId="0" xfId="2" applyFont="1" applyFill="1" applyBorder="1" applyProtection="1"/>
    <xf numFmtId="0" fontId="15" fillId="0" borderId="0" xfId="1" applyFont="1" applyFill="1" applyAlignment="1" applyProtection="1">
      <alignment vertical="center"/>
    </xf>
    <xf numFmtId="0" fontId="7" fillId="0" borderId="0" xfId="1" applyFont="1" applyFill="1" applyBorder="1" applyProtection="1"/>
    <xf numFmtId="0" fontId="1" fillId="0" borderId="0" xfId="2" applyFill="1" applyBorder="1" applyAlignment="1" applyProtection="1"/>
    <xf numFmtId="0" fontId="13" fillId="0" borderId="0" xfId="2" applyFont="1" applyFill="1" applyBorder="1" applyAlignment="1" applyProtection="1">
      <alignment horizontal="center" vertical="center"/>
    </xf>
    <xf numFmtId="0" fontId="3" fillId="0" borderId="0" xfId="2" applyFont="1" applyFill="1" applyBorder="1" applyAlignment="1" applyProtection="1">
      <alignment horizontal="left"/>
    </xf>
    <xf numFmtId="0" fontId="16" fillId="0" borderId="0" xfId="2" applyFont="1" applyAlignment="1" applyProtection="1">
      <alignment horizontal="right"/>
    </xf>
    <xf numFmtId="0" fontId="16" fillId="0" borderId="0" xfId="2" applyFont="1" applyProtection="1"/>
    <xf numFmtId="0" fontId="2" fillId="0" borderId="0" xfId="2" applyFont="1" applyFill="1" applyBorder="1" applyAlignment="1" applyProtection="1">
      <alignment vertical="center"/>
    </xf>
    <xf numFmtId="0" fontId="16" fillId="0" borderId="0" xfId="1" applyNumberFormat="1" applyFont="1" applyFill="1" applyAlignment="1" applyProtection="1">
      <alignment horizontal="right"/>
    </xf>
    <xf numFmtId="0" fontId="16" fillId="0" borderId="0" xfId="1" applyNumberFormat="1" applyFont="1" applyFill="1" applyAlignment="1" applyProtection="1">
      <alignment horizontal="center" vertical="center"/>
    </xf>
    <xf numFmtId="0" fontId="16" fillId="0" borderId="0" xfId="1" applyFont="1" applyFill="1" applyProtection="1"/>
    <xf numFmtId="0" fontId="1" fillId="0" borderId="0" xfId="1" applyFill="1" applyProtection="1"/>
    <xf numFmtId="179" fontId="16" fillId="0" borderId="0" xfId="2" applyNumberFormat="1" applyFont="1" applyAlignment="1" applyProtection="1">
      <alignment horizontal="right"/>
    </xf>
    <xf numFmtId="0" fontId="16" fillId="0" borderId="0" xfId="2" applyFont="1" applyAlignment="1" applyProtection="1">
      <alignment horizontal="center"/>
    </xf>
    <xf numFmtId="0" fontId="16" fillId="0" borderId="0" xfId="1" applyFont="1" applyFill="1" applyAlignment="1" applyProtection="1">
      <alignment horizontal="center" vertical="center"/>
    </xf>
    <xf numFmtId="203" fontId="13" fillId="3" borderId="4" xfId="1" applyNumberFormat="1" applyFont="1" applyFill="1" applyBorder="1" applyAlignment="1" applyProtection="1">
      <alignment horizontal="center" vertical="center" wrapText="1"/>
      <protection locked="0"/>
    </xf>
    <xf numFmtId="203" fontId="13" fillId="3" borderId="5" xfId="1" applyNumberFormat="1" applyFont="1" applyFill="1" applyBorder="1" applyAlignment="1" applyProtection="1">
      <alignment horizontal="center" vertical="center" wrapText="1"/>
      <protection locked="0"/>
    </xf>
    <xf numFmtId="0" fontId="16" fillId="0" borderId="0" xfId="1" applyNumberFormat="1" applyFont="1" applyFill="1" applyBorder="1" applyAlignment="1" applyProtection="1">
      <alignment horizontal="right"/>
    </xf>
    <xf numFmtId="0" fontId="1" fillId="0" borderId="0" xfId="1" applyFill="1" applyAlignment="1" applyProtection="1">
      <alignment vertical="center"/>
    </xf>
    <xf numFmtId="0" fontId="16" fillId="0" borderId="0" xfId="2" applyFont="1" applyFill="1" applyAlignment="1" applyProtection="1">
      <alignment horizontal="center"/>
    </xf>
    <xf numFmtId="0" fontId="1" fillId="0" borderId="0" xfId="2" applyProtection="1"/>
    <xf numFmtId="0" fontId="0" fillId="0" borderId="0" xfId="0" applyFill="1" applyProtection="1"/>
    <xf numFmtId="0" fontId="16" fillId="0" borderId="0" xfId="1" applyFont="1" applyFill="1" applyAlignment="1" applyProtection="1">
      <alignment vertical="center"/>
    </xf>
    <xf numFmtId="0" fontId="11" fillId="0" borderId="0" xfId="2" applyFont="1" applyProtection="1"/>
    <xf numFmtId="0" fontId="0" fillId="0" borderId="0" xfId="0" applyFill="1" applyAlignment="1" applyProtection="1">
      <alignment horizontal="left" vertical="center" wrapText="1"/>
    </xf>
    <xf numFmtId="0" fontId="14" fillId="0" borderId="0" xfId="2" applyFont="1" applyProtection="1"/>
    <xf numFmtId="0" fontId="2" fillId="0" borderId="0" xfId="0" applyFont="1" applyFill="1" applyBorder="1" applyProtection="1"/>
    <xf numFmtId="0" fontId="0" fillId="0" borderId="0" xfId="0" applyProtection="1"/>
    <xf numFmtId="0" fontId="0" fillId="0" borderId="0" xfId="0" applyFill="1" applyBorder="1" applyProtection="1"/>
    <xf numFmtId="0" fontId="13" fillId="0" borderId="0" xfId="2" applyFont="1" applyBorder="1" applyProtection="1"/>
    <xf numFmtId="0" fontId="13" fillId="0" borderId="0" xfId="0" applyFont="1" applyFill="1" applyBorder="1" applyProtection="1"/>
    <xf numFmtId="0" fontId="22" fillId="0" borderId="0" xfId="0" applyFont="1" applyFill="1" applyBorder="1" applyProtection="1"/>
    <xf numFmtId="0" fontId="1" fillId="0" borderId="0" xfId="2" applyBorder="1" applyProtection="1"/>
    <xf numFmtId="0" fontId="0" fillId="0" borderId="6" xfId="0" applyFill="1" applyBorder="1" applyProtection="1"/>
    <xf numFmtId="0" fontId="0" fillId="0" borderId="0" xfId="0" applyFill="1" applyBorder="1" applyAlignment="1" applyProtection="1">
      <alignment horizontal="left" vertical="center" shrinkToFit="1"/>
    </xf>
    <xf numFmtId="0" fontId="1" fillId="0" borderId="0" xfId="2" applyFill="1" applyProtection="1"/>
    <xf numFmtId="0" fontId="16" fillId="0" borderId="0" xfId="2" applyFont="1" applyFill="1" applyProtection="1"/>
    <xf numFmtId="0" fontId="16" fillId="0" borderId="0" xfId="2" applyNumberFormat="1" applyFont="1" applyFill="1" applyAlignment="1" applyProtection="1">
      <alignment horizontal="right"/>
    </xf>
    <xf numFmtId="0" fontId="1" fillId="0" borderId="7" xfId="2" applyBorder="1" applyProtection="1"/>
    <xf numFmtId="0" fontId="1" fillId="0" borderId="3" xfId="1" applyFill="1" applyBorder="1" applyProtection="1"/>
    <xf numFmtId="0" fontId="1" fillId="0" borderId="8" xfId="2" applyBorder="1" applyProtection="1"/>
    <xf numFmtId="0" fontId="1" fillId="0" borderId="2" xfId="2" applyBorder="1" applyProtection="1"/>
    <xf numFmtId="0" fontId="1" fillId="0" borderId="3" xfId="2" applyBorder="1" applyProtection="1"/>
    <xf numFmtId="0" fontId="16" fillId="0" borderId="0" xfId="2" applyFont="1" applyBorder="1" applyProtection="1"/>
    <xf numFmtId="0" fontId="2" fillId="0" borderId="0" xfId="1" applyFont="1" applyFill="1" applyProtection="1"/>
    <xf numFmtId="0" fontId="1" fillId="0" borderId="0" xfId="2" applyAlignment="1" applyProtection="1">
      <alignment horizontal="left" vertical="center" wrapText="1"/>
    </xf>
    <xf numFmtId="0" fontId="1" fillId="0" borderId="0" xfId="2" applyAlignment="1" applyProtection="1">
      <alignment horizontal="left" vertical="center" shrinkToFit="1"/>
    </xf>
    <xf numFmtId="0" fontId="3" fillId="0" borderId="0" xfId="1" applyFont="1" applyFill="1" applyBorder="1" applyAlignment="1" applyProtection="1">
      <alignment horizontal="left" vertical="center" wrapText="1"/>
    </xf>
    <xf numFmtId="0" fontId="10" fillId="0" borderId="9" xfId="2" applyFont="1" applyBorder="1" applyAlignment="1" applyProtection="1">
      <alignment horizontal="center" vertical="center"/>
    </xf>
    <xf numFmtId="14" fontId="1" fillId="0" borderId="0" xfId="1" applyNumberFormat="1" applyFill="1" applyProtection="1"/>
    <xf numFmtId="0" fontId="10" fillId="0" borderId="0" xfId="1" applyFont="1" applyFill="1" applyAlignment="1" applyProtection="1">
      <alignment horizontal="center" vertical="center"/>
    </xf>
    <xf numFmtId="0" fontId="11" fillId="0" borderId="0" xfId="2" applyFont="1" applyFill="1" applyBorder="1" applyAlignment="1" applyProtection="1">
      <alignment vertical="center" wrapText="1"/>
    </xf>
    <xf numFmtId="49" fontId="16" fillId="0" borderId="0" xfId="1" applyNumberFormat="1" applyFont="1" applyFill="1" applyBorder="1" applyAlignment="1" applyProtection="1">
      <alignment horizontal="left" vertical="center" wrapText="1" indent="1"/>
    </xf>
    <xf numFmtId="0" fontId="4" fillId="4" borderId="0" xfId="2" applyFont="1" applyFill="1" applyAlignment="1" applyProtection="1">
      <alignment vertical="center"/>
      <protection locked="0"/>
    </xf>
    <xf numFmtId="0" fontId="5" fillId="4" borderId="0" xfId="2" applyFont="1" applyFill="1" applyAlignment="1" applyProtection="1">
      <alignment vertical="center"/>
      <protection locked="0"/>
    </xf>
    <xf numFmtId="0" fontId="6" fillId="4" borderId="0" xfId="2" applyFont="1" applyFill="1" applyAlignment="1" applyProtection="1">
      <alignment vertical="center"/>
      <protection locked="0"/>
    </xf>
    <xf numFmtId="0" fontId="8" fillId="4" borderId="2" xfId="2" applyFont="1" applyFill="1" applyBorder="1" applyAlignment="1" applyProtection="1">
      <alignment vertical="center"/>
      <protection locked="0"/>
    </xf>
    <xf numFmtId="0" fontId="9" fillId="4" borderId="0" xfId="2" applyFont="1" applyFill="1" applyBorder="1" applyAlignment="1" applyProtection="1">
      <alignment vertical="center"/>
      <protection locked="0"/>
    </xf>
    <xf numFmtId="0" fontId="10" fillId="4" borderId="10" xfId="2" applyFont="1" applyFill="1" applyBorder="1" applyAlignment="1" applyProtection="1">
      <alignment horizontal="center" vertical="center"/>
      <protection locked="0"/>
    </xf>
    <xf numFmtId="0" fontId="21" fillId="5" borderId="11" xfId="2" applyFont="1" applyFill="1" applyBorder="1" applyAlignment="1" applyProtection="1">
      <alignment horizontal="left" vertical="center"/>
    </xf>
    <xf numFmtId="0" fontId="14" fillId="5" borderId="11" xfId="2" applyFont="1" applyFill="1" applyBorder="1" applyAlignment="1" applyProtection="1">
      <alignment horizontal="left" vertical="center"/>
    </xf>
    <xf numFmtId="0" fontId="21" fillId="5" borderId="12" xfId="2" applyFont="1" applyFill="1" applyBorder="1" applyAlignment="1" applyProtection="1">
      <alignment horizontal="left" vertical="center"/>
    </xf>
    <xf numFmtId="0" fontId="3" fillId="0" borderId="1" xfId="0" applyFont="1" applyFill="1" applyBorder="1" applyProtection="1"/>
    <xf numFmtId="4" fontId="3" fillId="0" borderId="1" xfId="0" applyNumberFormat="1" applyFont="1" applyFill="1" applyBorder="1" applyProtection="1"/>
    <xf numFmtId="2" fontId="3" fillId="0" borderId="1" xfId="0" applyNumberFormat="1" applyFont="1" applyFill="1" applyBorder="1" applyProtection="1"/>
    <xf numFmtId="2" fontId="0" fillId="0" borderId="0" xfId="0" applyNumberFormat="1" applyFill="1" applyProtection="1"/>
    <xf numFmtId="14" fontId="3" fillId="0" borderId="1" xfId="0" applyNumberFormat="1" applyFont="1" applyFill="1" applyBorder="1" applyProtection="1"/>
    <xf numFmtId="178" fontId="0" fillId="0" borderId="0" xfId="0" applyNumberFormat="1" applyFill="1" applyAlignment="1" applyProtection="1">
      <alignment horizontal="center"/>
    </xf>
    <xf numFmtId="0" fontId="3" fillId="0" borderId="1" xfId="0" applyFont="1" applyFill="1" applyBorder="1" applyAlignment="1" applyProtection="1">
      <alignment horizontal="center"/>
    </xf>
    <xf numFmtId="0" fontId="0" fillId="0" borderId="0" xfId="0" applyFill="1" applyAlignment="1" applyProtection="1">
      <alignment wrapText="1"/>
    </xf>
    <xf numFmtId="0" fontId="0" fillId="0" borderId="0" xfId="0" applyFill="1"/>
    <xf numFmtId="179" fontId="3" fillId="0" borderId="0" xfId="2" applyNumberFormat="1" applyFont="1" applyProtection="1"/>
    <xf numFmtId="1" fontId="3" fillId="0" borderId="1" xfId="0" applyNumberFormat="1" applyFont="1" applyFill="1" applyBorder="1" applyProtection="1"/>
    <xf numFmtId="4" fontId="29" fillId="3" borderId="1" xfId="0" applyNumberFormat="1" applyFont="1" applyFill="1" applyBorder="1" applyProtection="1">
      <protection locked="0"/>
    </xf>
    <xf numFmtId="0" fontId="30" fillId="0" borderId="0" xfId="0" applyFont="1" applyFill="1" applyProtection="1"/>
    <xf numFmtId="0" fontId="0" fillId="0" borderId="0" xfId="0" quotePrefix="1" applyFill="1" applyProtection="1"/>
    <xf numFmtId="0" fontId="1" fillId="0" borderId="0" xfId="2" applyFont="1" applyProtection="1"/>
    <xf numFmtId="0" fontId="0" fillId="0" borderId="0" xfId="0" applyNumberFormat="1" applyFill="1" applyProtection="1"/>
    <xf numFmtId="2" fontId="0" fillId="0" borderId="0" xfId="0" quotePrefix="1" applyNumberFormat="1" applyFill="1" applyAlignment="1" applyProtection="1">
      <alignment wrapText="1"/>
    </xf>
    <xf numFmtId="2" fontId="1" fillId="0" borderId="0" xfId="2" applyNumberFormat="1" applyProtection="1"/>
    <xf numFmtId="215" fontId="3" fillId="0" borderId="1" xfId="0" quotePrefix="1" applyNumberFormat="1" applyFont="1" applyFill="1" applyBorder="1" applyAlignment="1" applyProtection="1">
      <alignment wrapText="1"/>
    </xf>
    <xf numFmtId="179" fontId="1" fillId="0" borderId="0" xfId="2" applyNumberFormat="1" applyProtection="1"/>
    <xf numFmtId="0" fontId="1" fillId="0" borderId="0" xfId="2" applyNumberFormat="1" applyProtection="1"/>
    <xf numFmtId="0" fontId="0" fillId="0" borderId="0" xfId="0" quotePrefix="1" applyFill="1" applyAlignment="1" applyProtection="1">
      <alignment wrapText="1"/>
    </xf>
    <xf numFmtId="4" fontId="0" fillId="0" borderId="0" xfId="0" applyNumberFormat="1" applyFill="1" applyProtection="1"/>
    <xf numFmtId="0" fontId="0" fillId="0" borderId="0" xfId="0" applyNumberFormat="1" applyFill="1"/>
    <xf numFmtId="0" fontId="3" fillId="0" borderId="0" xfId="0" applyFont="1" applyFill="1" applyBorder="1" applyProtection="1"/>
    <xf numFmtId="4" fontId="29" fillId="3" borderId="0" xfId="0" applyNumberFormat="1" applyFont="1" applyFill="1" applyBorder="1" applyProtection="1">
      <protection locked="0"/>
    </xf>
    <xf numFmtId="4" fontId="3" fillId="0" borderId="0" xfId="0" applyNumberFormat="1" applyFont="1" applyFill="1" applyBorder="1" applyProtection="1"/>
    <xf numFmtId="14" fontId="3" fillId="0" borderId="0" xfId="0" applyNumberFormat="1" applyFont="1" applyFill="1" applyBorder="1" applyProtection="1"/>
    <xf numFmtId="4" fontId="16" fillId="3" borderId="51" xfId="2" applyNumberFormat="1" applyFont="1" applyFill="1" applyBorder="1" applyAlignment="1" applyProtection="1">
      <alignment horizontal="center" vertical="center"/>
      <protection locked="0"/>
    </xf>
    <xf numFmtId="4" fontId="16" fillId="3" borderId="52" xfId="2" applyNumberFormat="1" applyFont="1" applyFill="1" applyBorder="1" applyAlignment="1" applyProtection="1">
      <alignment horizontal="center" vertical="center"/>
      <protection locked="0"/>
    </xf>
    <xf numFmtId="4" fontId="16" fillId="3" borderId="53" xfId="2" applyNumberFormat="1" applyFont="1" applyFill="1" applyBorder="1" applyAlignment="1" applyProtection="1">
      <alignment horizontal="center" vertical="center"/>
      <protection locked="0"/>
    </xf>
    <xf numFmtId="0" fontId="3" fillId="3" borderId="18" xfId="2" applyFont="1" applyFill="1" applyBorder="1" applyAlignment="1" applyProtection="1">
      <alignment horizontal="left" wrapText="1"/>
      <protection locked="0"/>
    </xf>
    <xf numFmtId="0" fontId="3" fillId="3" borderId="17" xfId="2" applyFont="1" applyFill="1" applyBorder="1" applyAlignment="1" applyProtection="1">
      <alignment horizontal="left" wrapText="1"/>
      <protection locked="0"/>
    </xf>
    <xf numFmtId="0" fontId="3" fillId="3" borderId="10" xfId="2" applyFont="1" applyFill="1" applyBorder="1" applyAlignment="1" applyProtection="1">
      <alignment horizontal="left" wrapText="1"/>
      <protection locked="0"/>
    </xf>
    <xf numFmtId="0" fontId="3" fillId="3" borderId="19" xfId="2" applyFont="1" applyFill="1" applyBorder="1" applyAlignment="1" applyProtection="1">
      <alignment horizontal="left" wrapText="1"/>
      <protection locked="0"/>
    </xf>
    <xf numFmtId="0" fontId="3" fillId="3" borderId="0" xfId="2" applyFont="1" applyFill="1" applyBorder="1" applyAlignment="1" applyProtection="1">
      <alignment horizontal="left" wrapText="1"/>
      <protection locked="0"/>
    </xf>
    <xf numFmtId="0" fontId="3" fillId="3" borderId="9" xfId="2" applyFont="1" applyFill="1" applyBorder="1" applyAlignment="1" applyProtection="1">
      <alignment horizontal="left" wrapText="1"/>
      <protection locked="0"/>
    </xf>
    <xf numFmtId="0" fontId="3" fillId="3" borderId="21" xfId="2" applyFont="1" applyFill="1" applyBorder="1" applyAlignment="1" applyProtection="1">
      <alignment horizontal="left" wrapText="1"/>
      <protection locked="0"/>
    </xf>
    <xf numFmtId="0" fontId="3" fillId="3" borderId="13" xfId="2" applyFont="1" applyFill="1" applyBorder="1" applyAlignment="1" applyProtection="1">
      <alignment horizontal="left" wrapText="1"/>
      <protection locked="0"/>
    </xf>
    <xf numFmtId="0" fontId="3" fillId="3" borderId="22" xfId="2" applyFont="1" applyFill="1" applyBorder="1" applyAlignment="1" applyProtection="1">
      <alignment horizontal="left" wrapText="1"/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19" xfId="0" applyBorder="1" applyProtection="1">
      <protection locked="0"/>
    </xf>
    <xf numFmtId="0" fontId="0" fillId="0" borderId="0" xfId="0" applyProtection="1">
      <protection locked="0"/>
    </xf>
    <xf numFmtId="0" fontId="0" fillId="0" borderId="9" xfId="0" applyBorder="1" applyProtection="1">
      <protection locked="0"/>
    </xf>
    <xf numFmtId="0" fontId="0" fillId="0" borderId="21" xfId="0" applyBorder="1" applyProtection="1">
      <protection locked="0"/>
    </xf>
    <xf numFmtId="0" fontId="0" fillId="0" borderId="13" xfId="0" applyBorder="1" applyProtection="1">
      <protection locked="0"/>
    </xf>
    <xf numFmtId="0" fontId="0" fillId="0" borderId="22" xfId="0" applyBorder="1" applyProtection="1">
      <protection locked="0"/>
    </xf>
    <xf numFmtId="0" fontId="3" fillId="0" borderId="54" xfId="1" applyFont="1" applyFill="1" applyBorder="1" applyAlignment="1" applyProtection="1">
      <alignment horizontal="left" vertical="center" wrapText="1"/>
    </xf>
    <xf numFmtId="0" fontId="3" fillId="0" borderId="55" xfId="1" applyFont="1" applyFill="1" applyBorder="1" applyAlignment="1" applyProtection="1">
      <alignment horizontal="left" vertical="center" wrapText="1"/>
    </xf>
    <xf numFmtId="0" fontId="3" fillId="0" borderId="56" xfId="1" applyFont="1" applyFill="1" applyBorder="1" applyAlignment="1" applyProtection="1">
      <alignment horizontal="left" vertical="center" wrapText="1"/>
    </xf>
    <xf numFmtId="0" fontId="3" fillId="0" borderId="25" xfId="0" applyFont="1" applyFill="1" applyBorder="1" applyAlignment="1" applyProtection="1">
      <alignment horizontal="center"/>
    </xf>
    <xf numFmtId="0" fontId="3" fillId="0" borderId="33" xfId="0" applyFont="1" applyFill="1" applyBorder="1" applyAlignment="1" applyProtection="1">
      <alignment horizontal="center"/>
    </xf>
    <xf numFmtId="0" fontId="7" fillId="0" borderId="43" xfId="2" applyFont="1" applyFill="1" applyBorder="1" applyAlignment="1" applyProtection="1">
      <alignment horizontal="center"/>
    </xf>
    <xf numFmtId="14" fontId="18" fillId="3" borderId="25" xfId="1" applyNumberFormat="1" applyFont="1" applyFill="1" applyBorder="1" applyAlignment="1" applyProtection="1">
      <alignment horizontal="center" vertical="center"/>
      <protection locked="0"/>
    </xf>
    <xf numFmtId="14" fontId="18" fillId="3" borderId="20" xfId="1" applyNumberFormat="1" applyFont="1" applyFill="1" applyBorder="1" applyAlignment="1" applyProtection="1">
      <alignment horizontal="center" vertical="center"/>
      <protection locked="0"/>
    </xf>
    <xf numFmtId="14" fontId="18" fillId="3" borderId="33" xfId="1" applyNumberFormat="1" applyFont="1" applyFill="1" applyBorder="1" applyAlignment="1" applyProtection="1">
      <alignment horizontal="center" vertical="center"/>
      <protection locked="0"/>
    </xf>
    <xf numFmtId="0" fontId="7" fillId="0" borderId="25" xfId="1" applyFont="1" applyFill="1" applyBorder="1" applyAlignment="1" applyProtection="1">
      <alignment horizontal="right" vertical="center" wrapText="1"/>
    </xf>
    <xf numFmtId="0" fontId="7" fillId="0" borderId="20" xfId="1" applyFont="1" applyFill="1" applyBorder="1" applyAlignment="1" applyProtection="1">
      <alignment horizontal="right" vertical="center" wrapText="1"/>
    </xf>
    <xf numFmtId="0" fontId="7" fillId="0" borderId="33" xfId="1" applyFont="1" applyFill="1" applyBorder="1" applyAlignment="1" applyProtection="1">
      <alignment horizontal="right" vertical="center" wrapText="1"/>
    </xf>
    <xf numFmtId="0" fontId="3" fillId="0" borderId="25" xfId="0" applyFont="1" applyFill="1" applyBorder="1" applyAlignment="1" applyProtection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0" fillId="0" borderId="33" xfId="0" applyBorder="1" applyAlignment="1">
      <alignment horizontal="center" vertical="center" wrapText="1"/>
    </xf>
    <xf numFmtId="0" fontId="7" fillId="0" borderId="25" xfId="2" applyFont="1" applyFill="1" applyBorder="1" applyAlignment="1" applyProtection="1">
      <alignment horizontal="left" vertical="center" wrapText="1"/>
    </xf>
    <xf numFmtId="0" fontId="7" fillId="0" borderId="20" xfId="2" applyFont="1" applyFill="1" applyBorder="1" applyAlignment="1" applyProtection="1">
      <alignment horizontal="left" vertical="center" wrapText="1"/>
    </xf>
    <xf numFmtId="0" fontId="7" fillId="0" borderId="33" xfId="2" applyFont="1" applyFill="1" applyBorder="1" applyAlignment="1" applyProtection="1">
      <alignment horizontal="left" vertical="center" wrapText="1"/>
    </xf>
    <xf numFmtId="49" fontId="10" fillId="0" borderId="25" xfId="1" applyNumberFormat="1" applyFont="1" applyFill="1" applyBorder="1" applyAlignment="1" applyProtection="1">
      <alignment horizontal="center" vertical="center"/>
    </xf>
    <xf numFmtId="49" fontId="10" fillId="0" borderId="20" xfId="1" applyNumberFormat="1" applyFont="1" applyFill="1" applyBorder="1" applyAlignment="1" applyProtection="1">
      <alignment horizontal="center" vertical="center"/>
    </xf>
    <xf numFmtId="49" fontId="10" fillId="0" borderId="33" xfId="1" applyNumberFormat="1" applyFont="1" applyFill="1" applyBorder="1" applyAlignment="1" applyProtection="1">
      <alignment horizontal="center" vertical="center"/>
    </xf>
    <xf numFmtId="0" fontId="17" fillId="0" borderId="25" xfId="1" applyFont="1" applyFill="1" applyBorder="1" applyAlignment="1" applyProtection="1">
      <alignment horizontal="left" vertical="center" wrapText="1" indent="1"/>
    </xf>
    <xf numFmtId="0" fontId="17" fillId="0" borderId="20" xfId="1" applyFont="1" applyFill="1" applyBorder="1" applyAlignment="1" applyProtection="1">
      <alignment horizontal="left" vertical="center" wrapText="1" indent="1"/>
    </xf>
    <xf numFmtId="0" fontId="17" fillId="0" borderId="33" xfId="1" applyFont="1" applyFill="1" applyBorder="1" applyAlignment="1" applyProtection="1">
      <alignment horizontal="left" vertical="center" wrapText="1" indent="1"/>
    </xf>
    <xf numFmtId="14" fontId="7" fillId="0" borderId="25" xfId="1" applyNumberFormat="1" applyFont="1" applyFill="1" applyBorder="1" applyAlignment="1" applyProtection="1">
      <alignment horizontal="right" vertical="center" wrapText="1"/>
    </xf>
    <xf numFmtId="14" fontId="7" fillId="0" borderId="20" xfId="1" applyNumberFormat="1" applyFont="1" applyFill="1" applyBorder="1" applyAlignment="1" applyProtection="1">
      <alignment horizontal="right" vertical="center" wrapText="1"/>
    </xf>
    <xf numFmtId="14" fontId="7" fillId="0" borderId="33" xfId="1" applyNumberFormat="1" applyFont="1" applyFill="1" applyBorder="1" applyAlignment="1" applyProtection="1">
      <alignment horizontal="right" vertical="center" wrapText="1"/>
    </xf>
    <xf numFmtId="0" fontId="7" fillId="0" borderId="1" xfId="1" applyFont="1" applyFill="1" applyBorder="1" applyAlignment="1" applyProtection="1">
      <alignment horizontal="center" vertical="center" wrapText="1"/>
    </xf>
    <xf numFmtId="10" fontId="7" fillId="0" borderId="1" xfId="1" applyNumberFormat="1" applyFont="1" applyFill="1" applyBorder="1" applyAlignment="1" applyProtection="1">
      <alignment horizontal="center" vertical="center" wrapText="1"/>
    </xf>
    <xf numFmtId="0" fontId="13" fillId="0" borderId="25" xfId="0" applyNumberFormat="1" applyFont="1" applyFill="1" applyBorder="1" applyAlignment="1" applyProtection="1">
      <alignment horizontal="center" vertical="center"/>
    </xf>
    <xf numFmtId="0" fontId="13" fillId="0" borderId="20" xfId="0" applyNumberFormat="1" applyFont="1" applyFill="1" applyBorder="1" applyAlignment="1" applyProtection="1">
      <alignment horizontal="center" vertical="center"/>
    </xf>
    <xf numFmtId="0" fontId="13" fillId="0" borderId="33" xfId="0" applyNumberFormat="1" applyFont="1" applyFill="1" applyBorder="1" applyAlignment="1" applyProtection="1">
      <alignment horizontal="center" vertical="center"/>
    </xf>
    <xf numFmtId="49" fontId="10" fillId="0" borderId="43" xfId="1" applyNumberFormat="1" applyFont="1" applyFill="1" applyBorder="1" applyAlignment="1" applyProtection="1">
      <alignment horizontal="center" vertical="center"/>
    </xf>
    <xf numFmtId="0" fontId="17" fillId="0" borderId="43" xfId="1" applyFont="1" applyFill="1" applyBorder="1" applyAlignment="1" applyProtection="1">
      <alignment horizontal="left" vertical="center"/>
    </xf>
    <xf numFmtId="0" fontId="7" fillId="0" borderId="21" xfId="1" applyFont="1" applyFill="1" applyBorder="1" applyAlignment="1" applyProtection="1">
      <alignment horizontal="left" vertical="center" wrapText="1"/>
    </xf>
    <xf numFmtId="0" fontId="1" fillId="0" borderId="13" xfId="1" applyFill="1" applyBorder="1" applyAlignment="1" applyProtection="1">
      <alignment horizontal="left" vertical="center" wrapText="1"/>
    </xf>
    <xf numFmtId="0" fontId="1" fillId="0" borderId="22" xfId="1" applyFill="1" applyBorder="1" applyAlignment="1" applyProtection="1">
      <alignment horizontal="left" vertical="center" wrapText="1"/>
    </xf>
    <xf numFmtId="0" fontId="18" fillId="3" borderId="1" xfId="1" applyNumberFormat="1" applyFont="1" applyFill="1" applyBorder="1" applyAlignment="1" applyProtection="1">
      <alignment horizontal="left" vertical="center"/>
      <protection locked="0"/>
    </xf>
    <xf numFmtId="0" fontId="18" fillId="3" borderId="25" xfId="1" applyNumberFormat="1" applyFont="1" applyFill="1" applyBorder="1" applyAlignment="1" applyProtection="1">
      <alignment horizontal="left" vertical="center"/>
      <protection locked="0"/>
    </xf>
    <xf numFmtId="0" fontId="18" fillId="3" borderId="30" xfId="1" applyNumberFormat="1" applyFont="1" applyFill="1" applyBorder="1" applyAlignment="1" applyProtection="1">
      <alignment horizontal="center" vertical="center"/>
      <protection locked="0"/>
    </xf>
    <xf numFmtId="0" fontId="18" fillId="3" borderId="32" xfId="1" applyNumberFormat="1" applyFont="1" applyFill="1" applyBorder="1" applyAlignment="1" applyProtection="1">
      <alignment horizontal="center" vertical="center"/>
      <protection locked="0"/>
    </xf>
    <xf numFmtId="0" fontId="0" fillId="3" borderId="21" xfId="0" applyFill="1" applyBorder="1" applyAlignment="1" applyProtection="1">
      <alignment horizontal="center"/>
      <protection locked="0"/>
    </xf>
    <xf numFmtId="0" fontId="0" fillId="3" borderId="13" xfId="0" applyFill="1" applyBorder="1" applyAlignment="1" applyProtection="1">
      <alignment horizontal="center"/>
      <protection locked="0"/>
    </xf>
    <xf numFmtId="0" fontId="0" fillId="3" borderId="22" xfId="0" applyFill="1" applyBorder="1" applyAlignment="1" applyProtection="1">
      <alignment horizontal="center"/>
      <protection locked="0"/>
    </xf>
    <xf numFmtId="0" fontId="2" fillId="3" borderId="45" xfId="0" applyFont="1" applyFill="1" applyBorder="1" applyAlignment="1" applyProtection="1">
      <alignment horizontal="center"/>
      <protection locked="0"/>
    </xf>
    <xf numFmtId="0" fontId="2" fillId="3" borderId="44" xfId="0" applyFont="1" applyFill="1" applyBorder="1" applyAlignment="1" applyProtection="1">
      <alignment horizontal="center"/>
      <protection locked="0"/>
    </xf>
    <xf numFmtId="0" fontId="2" fillId="3" borderId="46" xfId="0" applyFont="1" applyFill="1" applyBorder="1" applyAlignment="1" applyProtection="1">
      <alignment horizontal="center"/>
      <protection locked="0"/>
    </xf>
    <xf numFmtId="0" fontId="11" fillId="0" borderId="0" xfId="2" applyFont="1" applyFill="1" applyBorder="1" applyAlignment="1" applyProtection="1">
      <alignment horizontal="left" vertical="top" wrapText="1"/>
    </xf>
    <xf numFmtId="0" fontId="14" fillId="8" borderId="0" xfId="2" applyFont="1" applyFill="1" applyBorder="1" applyAlignment="1" applyProtection="1">
      <alignment horizontal="center" vertical="center" wrapText="1"/>
    </xf>
    <xf numFmtId="0" fontId="25" fillId="0" borderId="25" xfId="2" applyFont="1" applyBorder="1" applyAlignment="1" applyProtection="1">
      <alignment horizontal="left" vertical="center" wrapText="1"/>
    </xf>
    <xf numFmtId="0" fontId="25" fillId="0" borderId="20" xfId="2" applyFont="1" applyBorder="1" applyAlignment="1" applyProtection="1">
      <alignment horizontal="left" vertical="center" wrapText="1"/>
    </xf>
    <xf numFmtId="0" fontId="25" fillId="0" borderId="33" xfId="2" applyFont="1" applyBorder="1" applyAlignment="1" applyProtection="1">
      <alignment horizontal="left" vertical="center" wrapText="1"/>
    </xf>
    <xf numFmtId="49" fontId="16" fillId="0" borderId="21" xfId="1" applyNumberFormat="1" applyFont="1" applyFill="1" applyBorder="1" applyAlignment="1" applyProtection="1">
      <alignment horizontal="left" vertical="center" wrapText="1" indent="1"/>
    </xf>
    <xf numFmtId="49" fontId="16" fillId="0" borderId="13" xfId="1" applyNumberFormat="1" applyFont="1" applyFill="1" applyBorder="1" applyAlignment="1" applyProtection="1">
      <alignment horizontal="left" vertical="center" wrapText="1" indent="1"/>
    </xf>
    <xf numFmtId="49" fontId="16" fillId="0" borderId="22" xfId="1" applyNumberFormat="1" applyFont="1" applyFill="1" applyBorder="1" applyAlignment="1" applyProtection="1">
      <alignment horizontal="left" vertical="center" wrapText="1" indent="1"/>
    </xf>
    <xf numFmtId="0" fontId="11" fillId="0" borderId="0" xfId="2" applyFont="1" applyFill="1" applyBorder="1" applyAlignment="1" applyProtection="1">
      <alignment horizontal="left" vertical="center" wrapText="1"/>
    </xf>
    <xf numFmtId="212" fontId="18" fillId="3" borderId="13" xfId="1" applyNumberFormat="1" applyFont="1" applyFill="1" applyBorder="1" applyAlignment="1" applyProtection="1">
      <alignment horizontal="left" vertical="center"/>
      <protection locked="0"/>
    </xf>
    <xf numFmtId="212" fontId="18" fillId="3" borderId="22" xfId="1" applyNumberFormat="1" applyFont="1" applyFill="1" applyBorder="1" applyAlignment="1" applyProtection="1">
      <alignment horizontal="left" vertical="center"/>
      <protection locked="0"/>
    </xf>
    <xf numFmtId="0" fontId="8" fillId="0" borderId="2" xfId="2" applyFont="1" applyFill="1" applyBorder="1" applyAlignment="1" applyProtection="1">
      <alignment horizontal="center" vertical="center"/>
    </xf>
    <xf numFmtId="0" fontId="9" fillId="0" borderId="0" xfId="2" applyFont="1" applyFill="1" applyBorder="1" applyAlignment="1" applyProtection="1">
      <alignment horizontal="center" vertical="center"/>
    </xf>
    <xf numFmtId="0" fontId="12" fillId="0" borderId="0" xfId="2" applyFont="1" applyFill="1" applyBorder="1" applyAlignment="1" applyProtection="1">
      <alignment horizontal="center" vertical="center"/>
    </xf>
    <xf numFmtId="0" fontId="17" fillId="0" borderId="43" xfId="1" applyNumberFormat="1" applyFont="1" applyFill="1" applyBorder="1" applyAlignment="1" applyProtection="1">
      <alignment horizontal="left" vertical="center"/>
    </xf>
    <xf numFmtId="0" fontId="18" fillId="3" borderId="21" xfId="1" applyFont="1" applyFill="1" applyBorder="1" applyAlignment="1" applyProtection="1">
      <alignment horizontal="left" vertical="center"/>
      <protection locked="0"/>
    </xf>
    <xf numFmtId="0" fontId="18" fillId="3" borderId="13" xfId="1" applyFont="1" applyFill="1" applyBorder="1" applyAlignment="1" applyProtection="1">
      <alignment horizontal="left" vertical="center"/>
      <protection locked="0"/>
    </xf>
    <xf numFmtId="0" fontId="18" fillId="3" borderId="22" xfId="1" applyFont="1" applyFill="1" applyBorder="1" applyAlignment="1" applyProtection="1">
      <alignment horizontal="left" vertical="center"/>
      <protection locked="0"/>
    </xf>
    <xf numFmtId="216" fontId="18" fillId="3" borderId="21" xfId="1" applyNumberFormat="1" applyFont="1" applyFill="1" applyBorder="1" applyAlignment="1" applyProtection="1">
      <alignment horizontal="left" vertical="center"/>
      <protection locked="0"/>
    </xf>
    <xf numFmtId="216" fontId="18" fillId="3" borderId="13" xfId="1" applyNumberFormat="1" applyFont="1" applyFill="1" applyBorder="1" applyAlignment="1" applyProtection="1">
      <alignment horizontal="left" vertical="center"/>
      <protection locked="0"/>
    </xf>
    <xf numFmtId="216" fontId="18" fillId="3" borderId="22" xfId="1" applyNumberFormat="1" applyFont="1" applyFill="1" applyBorder="1" applyAlignment="1" applyProtection="1">
      <alignment horizontal="left" vertical="center"/>
      <protection locked="0"/>
    </xf>
    <xf numFmtId="203" fontId="18" fillId="3" borderId="25" xfId="1" applyNumberFormat="1" applyFont="1" applyFill="1" applyBorder="1" applyAlignment="1" applyProtection="1">
      <alignment horizontal="center" vertical="center"/>
      <protection locked="0"/>
    </xf>
    <xf numFmtId="203" fontId="18" fillId="3" borderId="33" xfId="1" applyNumberFormat="1" applyFont="1" applyFill="1" applyBorder="1" applyAlignment="1" applyProtection="1">
      <alignment horizontal="center" vertical="center"/>
      <protection locked="0"/>
    </xf>
    <xf numFmtId="0" fontId="10" fillId="0" borderId="21" xfId="1" applyNumberFormat="1" applyFont="1" applyFill="1" applyBorder="1" applyAlignment="1" applyProtection="1">
      <alignment horizontal="center" vertical="center"/>
    </xf>
    <xf numFmtId="0" fontId="10" fillId="0" borderId="22" xfId="1" applyNumberFormat="1" applyFont="1" applyFill="1" applyBorder="1" applyAlignment="1" applyProtection="1">
      <alignment horizontal="center" vertical="center"/>
    </xf>
    <xf numFmtId="0" fontId="17" fillId="0" borderId="21" xfId="1" applyFont="1" applyFill="1" applyBorder="1" applyAlignment="1" applyProtection="1">
      <alignment horizontal="left" vertical="center"/>
    </xf>
    <xf numFmtId="0" fontId="17" fillId="0" borderId="13" xfId="1" applyFont="1" applyFill="1" applyBorder="1" applyAlignment="1" applyProtection="1">
      <alignment horizontal="left" vertical="center"/>
    </xf>
    <xf numFmtId="0" fontId="17" fillId="0" borderId="22" xfId="1" applyFont="1" applyFill="1" applyBorder="1" applyAlignment="1" applyProtection="1">
      <alignment horizontal="left" vertical="center"/>
    </xf>
    <xf numFmtId="0" fontId="17" fillId="0" borderId="21" xfId="1" applyNumberFormat="1" applyFont="1" applyFill="1" applyBorder="1" applyAlignment="1" applyProtection="1">
      <alignment horizontal="left" vertical="center"/>
    </xf>
    <xf numFmtId="0" fontId="17" fillId="0" borderId="13" xfId="1" applyNumberFormat="1" applyFont="1" applyFill="1" applyBorder="1" applyAlignment="1" applyProtection="1">
      <alignment horizontal="left" vertical="center"/>
    </xf>
    <xf numFmtId="0" fontId="17" fillId="0" borderId="22" xfId="1" applyNumberFormat="1" applyFont="1" applyFill="1" applyBorder="1" applyAlignment="1" applyProtection="1">
      <alignment horizontal="left" vertical="center"/>
    </xf>
    <xf numFmtId="0" fontId="17" fillId="0" borderId="19" xfId="1" applyNumberFormat="1" applyFont="1" applyFill="1" applyBorder="1" applyAlignment="1" applyProtection="1">
      <alignment horizontal="left" vertical="center" wrapText="1"/>
    </xf>
    <xf numFmtId="0" fontId="17" fillId="0" borderId="9" xfId="1" applyNumberFormat="1" applyFont="1" applyFill="1" applyBorder="1" applyAlignment="1" applyProtection="1">
      <alignment horizontal="left" vertical="center" wrapText="1"/>
    </xf>
    <xf numFmtId="0" fontId="18" fillId="3" borderId="1" xfId="1" applyFont="1" applyFill="1" applyBorder="1" applyAlignment="1" applyProtection="1">
      <alignment horizontal="left" vertical="center"/>
      <protection locked="0"/>
    </xf>
    <xf numFmtId="0" fontId="17" fillId="0" borderId="25" xfId="1" applyFont="1" applyFill="1" applyBorder="1" applyAlignment="1" applyProtection="1">
      <alignment horizontal="left" vertical="center" wrapText="1"/>
    </xf>
    <xf numFmtId="0" fontId="17" fillId="0" borderId="20" xfId="1" applyFont="1" applyFill="1" applyBorder="1" applyAlignment="1" applyProtection="1">
      <alignment horizontal="left" vertical="center" wrapText="1"/>
    </xf>
    <xf numFmtId="0" fontId="17" fillId="0" borderId="33" xfId="1" applyFont="1" applyFill="1" applyBorder="1" applyAlignment="1" applyProtection="1">
      <alignment horizontal="left" vertical="center" wrapText="1"/>
    </xf>
    <xf numFmtId="217" fontId="18" fillId="3" borderId="1" xfId="1" applyNumberFormat="1" applyFont="1" applyFill="1" applyBorder="1" applyAlignment="1" applyProtection="1">
      <alignment horizontal="left" vertical="center"/>
      <protection locked="0"/>
    </xf>
    <xf numFmtId="0" fontId="14" fillId="0" borderId="25" xfId="2" applyFont="1" applyFill="1" applyBorder="1" applyAlignment="1" applyProtection="1">
      <alignment horizontal="left" vertical="center" wrapText="1"/>
    </xf>
    <xf numFmtId="0" fontId="14" fillId="0" borderId="20" xfId="2" applyFont="1" applyFill="1" applyBorder="1" applyAlignment="1" applyProtection="1">
      <alignment horizontal="left" vertical="center" wrapText="1"/>
    </xf>
    <xf numFmtId="0" fontId="14" fillId="0" borderId="33" xfId="2" applyFont="1" applyFill="1" applyBorder="1" applyAlignment="1" applyProtection="1">
      <alignment horizontal="left" vertical="center" wrapText="1"/>
    </xf>
    <xf numFmtId="0" fontId="17" fillId="0" borderId="25" xfId="1" applyFont="1" applyFill="1" applyBorder="1" applyAlignment="1" applyProtection="1">
      <alignment horizontal="left" vertical="center"/>
    </xf>
    <xf numFmtId="0" fontId="17" fillId="0" borderId="20" xfId="1" applyFont="1" applyFill="1" applyBorder="1" applyAlignment="1" applyProtection="1">
      <alignment horizontal="left" vertical="center"/>
    </xf>
    <xf numFmtId="0" fontId="17" fillId="0" borderId="33" xfId="1" applyFont="1" applyFill="1" applyBorder="1" applyAlignment="1" applyProtection="1">
      <alignment horizontal="left" vertical="center"/>
    </xf>
    <xf numFmtId="216" fontId="18" fillId="3" borderId="33" xfId="1" applyNumberFormat="1" applyFont="1" applyFill="1" applyBorder="1" applyAlignment="1" applyProtection="1">
      <alignment horizontal="left" vertical="center"/>
      <protection locked="0"/>
    </xf>
    <xf numFmtId="216" fontId="18" fillId="3" borderId="1" xfId="1" applyNumberFormat="1" applyFont="1" applyFill="1" applyBorder="1" applyAlignment="1" applyProtection="1">
      <alignment horizontal="left" vertical="center"/>
      <protection locked="0"/>
    </xf>
    <xf numFmtId="0" fontId="18" fillId="3" borderId="44" xfId="1" applyNumberFormat="1" applyFont="1" applyFill="1" applyBorder="1" applyAlignment="1" applyProtection="1">
      <alignment horizontal="center" vertical="center"/>
      <protection locked="0"/>
    </xf>
    <xf numFmtId="0" fontId="17" fillId="3" borderId="25" xfId="1" applyFont="1" applyFill="1" applyBorder="1" applyAlignment="1" applyProtection="1">
      <alignment horizontal="left" vertical="center" wrapText="1"/>
      <protection locked="0"/>
    </xf>
    <xf numFmtId="0" fontId="17" fillId="3" borderId="20" xfId="1" applyFont="1" applyFill="1" applyBorder="1" applyAlignment="1" applyProtection="1">
      <alignment horizontal="left" vertical="center" wrapText="1"/>
      <protection locked="0"/>
    </xf>
    <xf numFmtId="0" fontId="17" fillId="3" borderId="33" xfId="1" applyFont="1" applyFill="1" applyBorder="1" applyAlignment="1" applyProtection="1">
      <alignment horizontal="left" vertical="center" wrapText="1"/>
      <protection locked="0"/>
    </xf>
    <xf numFmtId="4" fontId="18" fillId="3" borderId="1" xfId="1" applyNumberFormat="1" applyFont="1" applyFill="1" applyBorder="1" applyAlignment="1" applyProtection="1">
      <alignment horizontal="left" vertical="center"/>
      <protection locked="0"/>
    </xf>
    <xf numFmtId="0" fontId="16" fillId="0" borderId="23" xfId="2" applyFont="1" applyFill="1" applyBorder="1" applyAlignment="1" applyProtection="1">
      <alignment horizontal="left" vertical="center" wrapText="1"/>
    </xf>
    <xf numFmtId="0" fontId="16" fillId="0" borderId="18" xfId="2" applyFont="1" applyFill="1" applyBorder="1" applyAlignment="1" applyProtection="1">
      <alignment horizontal="left" vertical="center" wrapText="1"/>
    </xf>
    <xf numFmtId="0" fontId="20" fillId="0" borderId="3" xfId="2" applyFont="1" applyFill="1" applyBorder="1" applyAlignment="1" applyProtection="1">
      <alignment horizontal="center" vertical="center" wrapText="1"/>
    </xf>
    <xf numFmtId="0" fontId="20" fillId="0" borderId="3" xfId="2" applyFont="1" applyFill="1" applyBorder="1" applyAlignment="1" applyProtection="1">
      <alignment horizontal="center" vertical="center"/>
    </xf>
    <xf numFmtId="0" fontId="3" fillId="4" borderId="25" xfId="3" applyFont="1" applyFill="1" applyBorder="1" applyAlignment="1" applyProtection="1">
      <alignment horizontal="left" vertical="center" wrapText="1"/>
      <protection locked="0"/>
    </xf>
    <xf numFmtId="0" fontId="7" fillId="4" borderId="20" xfId="3" applyFont="1" applyFill="1" applyBorder="1" applyAlignment="1" applyProtection="1">
      <alignment horizontal="left" vertical="center" wrapText="1"/>
      <protection locked="0"/>
    </xf>
    <xf numFmtId="0" fontId="7" fillId="4" borderId="33" xfId="3" applyFont="1" applyFill="1" applyBorder="1" applyAlignment="1" applyProtection="1">
      <alignment horizontal="left" vertical="center" wrapText="1"/>
      <protection locked="0"/>
    </xf>
    <xf numFmtId="0" fontId="2" fillId="0" borderId="25" xfId="2" applyFont="1" applyBorder="1" applyAlignment="1" applyProtection="1">
      <alignment horizontal="left" vertical="center" wrapText="1"/>
    </xf>
    <xf numFmtId="0" fontId="2" fillId="0" borderId="20" xfId="2" applyFont="1" applyBorder="1" applyAlignment="1" applyProtection="1">
      <alignment horizontal="left" vertical="center" wrapText="1"/>
    </xf>
    <xf numFmtId="0" fontId="2" fillId="0" borderId="33" xfId="2" applyFont="1" applyBorder="1" applyAlignment="1" applyProtection="1">
      <alignment horizontal="left" vertical="center" wrapText="1"/>
    </xf>
    <xf numFmtId="0" fontId="7" fillId="0" borderId="1" xfId="1" applyFont="1" applyFill="1" applyBorder="1" applyAlignment="1" applyProtection="1">
      <alignment horizontal="left" vertical="center" wrapText="1"/>
    </xf>
    <xf numFmtId="0" fontId="10" fillId="0" borderId="1" xfId="1" applyFont="1" applyFill="1" applyBorder="1" applyAlignment="1" applyProtection="1">
      <alignment horizontal="center" vertical="center" wrapText="1"/>
    </xf>
    <xf numFmtId="2" fontId="16" fillId="3" borderId="1" xfId="1" applyNumberFormat="1" applyFont="1" applyFill="1" applyBorder="1" applyAlignment="1" applyProtection="1">
      <alignment horizontal="center" vertical="center"/>
      <protection locked="0"/>
    </xf>
    <xf numFmtId="2" fontId="17" fillId="0" borderId="1" xfId="1" applyNumberFormat="1" applyFont="1" applyFill="1" applyBorder="1" applyAlignment="1" applyProtection="1">
      <alignment horizontal="center" vertical="center"/>
    </xf>
    <xf numFmtId="2" fontId="17" fillId="0" borderId="23" xfId="1" applyNumberFormat="1" applyFont="1" applyFill="1" applyBorder="1" applyAlignment="1" applyProtection="1">
      <alignment horizontal="center" vertical="center"/>
    </xf>
    <xf numFmtId="0" fontId="3" fillId="4" borderId="20" xfId="3" applyFont="1" applyFill="1" applyBorder="1" applyAlignment="1" applyProtection="1">
      <alignment horizontal="left" vertical="center" wrapText="1"/>
      <protection locked="0"/>
    </xf>
    <xf numFmtId="0" fontId="18" fillId="0" borderId="25" xfId="1" applyNumberFormat="1" applyFont="1" applyFill="1" applyBorder="1" applyAlignment="1" applyProtection="1">
      <alignment horizontal="center" vertical="center" shrinkToFit="1"/>
    </xf>
    <xf numFmtId="0" fontId="18" fillId="0" borderId="20" xfId="1" applyNumberFormat="1" applyFont="1" applyFill="1" applyBorder="1" applyAlignment="1" applyProtection="1">
      <alignment horizontal="center" vertical="center" shrinkToFit="1"/>
    </xf>
    <xf numFmtId="0" fontId="18" fillId="0" borderId="33" xfId="1" applyNumberFormat="1" applyFont="1" applyFill="1" applyBorder="1" applyAlignment="1" applyProtection="1">
      <alignment horizontal="center" vertical="center" shrinkToFit="1"/>
    </xf>
    <xf numFmtId="2" fontId="18" fillId="3" borderId="47" xfId="1" applyNumberFormat="1" applyFont="1" applyFill="1" applyBorder="1" applyAlignment="1" applyProtection="1">
      <alignment horizontal="center" vertical="center" wrapText="1"/>
      <protection locked="0"/>
    </xf>
    <xf numFmtId="0" fontId="0" fillId="0" borderId="48" xfId="0" applyBorder="1" applyAlignment="1" applyProtection="1">
      <alignment horizontal="center" vertical="center" wrapText="1"/>
      <protection locked="0"/>
    </xf>
    <xf numFmtId="0" fontId="0" fillId="0" borderId="47" xfId="0" applyBorder="1" applyAlignment="1" applyProtection="1">
      <alignment horizontal="center" vertical="center" wrapText="1"/>
      <protection locked="0"/>
    </xf>
    <xf numFmtId="2" fontId="18" fillId="3" borderId="1" xfId="1" applyNumberFormat="1" applyFont="1" applyFill="1" applyBorder="1" applyAlignment="1" applyProtection="1">
      <alignment horizontal="center" vertical="center"/>
      <protection locked="0"/>
    </xf>
    <xf numFmtId="0" fontId="7" fillId="4" borderId="25" xfId="3" applyFont="1" applyFill="1" applyBorder="1" applyAlignment="1" applyProtection="1">
      <alignment horizontal="left" vertical="center" wrapText="1"/>
      <protection locked="0"/>
    </xf>
    <xf numFmtId="0" fontId="1" fillId="2" borderId="20" xfId="1" applyBorder="1" applyAlignment="1" applyProtection="1">
      <alignment horizontal="left" vertical="center" wrapText="1"/>
      <protection locked="0"/>
    </xf>
    <xf numFmtId="0" fontId="1" fillId="2" borderId="33" xfId="1" applyBorder="1" applyAlignment="1" applyProtection="1">
      <alignment horizontal="left" vertical="center" wrapText="1"/>
      <protection locked="0"/>
    </xf>
    <xf numFmtId="4" fontId="17" fillId="3" borderId="30" xfId="2" applyNumberFormat="1" applyFont="1" applyFill="1" applyBorder="1" applyAlignment="1" applyProtection="1">
      <alignment horizontal="center" vertical="center"/>
      <protection locked="0"/>
    </xf>
    <xf numFmtId="4" fontId="17" fillId="3" borderId="31" xfId="2" applyNumberFormat="1" applyFont="1" applyFill="1" applyBorder="1" applyAlignment="1" applyProtection="1">
      <alignment horizontal="center" vertical="center"/>
      <protection locked="0"/>
    </xf>
    <xf numFmtId="4" fontId="17" fillId="3" borderId="32" xfId="2" applyNumberFormat="1" applyFont="1" applyFill="1" applyBorder="1" applyAlignment="1" applyProtection="1">
      <alignment horizontal="center" vertical="center"/>
      <protection locked="0"/>
    </xf>
    <xf numFmtId="0" fontId="7" fillId="0" borderId="23" xfId="1" applyFont="1" applyFill="1" applyBorder="1" applyAlignment="1" applyProtection="1">
      <alignment horizontal="left" vertical="center" wrapText="1"/>
    </xf>
    <xf numFmtId="2" fontId="18" fillId="6" borderId="50" xfId="1" applyNumberFormat="1" applyFont="1" applyFill="1" applyBorder="1" applyAlignment="1" applyProtection="1">
      <alignment horizontal="center" vertical="center"/>
    </xf>
    <xf numFmtId="0" fontId="10" fillId="0" borderId="23" xfId="1" applyFont="1" applyFill="1" applyBorder="1" applyAlignment="1" applyProtection="1">
      <alignment horizontal="center" vertical="center" wrapText="1"/>
    </xf>
    <xf numFmtId="2" fontId="18" fillId="3" borderId="23" xfId="1" applyNumberFormat="1" applyFont="1" applyFill="1" applyBorder="1" applyAlignment="1" applyProtection="1">
      <alignment horizontal="center" vertical="center"/>
      <protection locked="0"/>
    </xf>
    <xf numFmtId="2" fontId="16" fillId="3" borderId="23" xfId="1" applyNumberFormat="1" applyFont="1" applyFill="1" applyBorder="1" applyAlignment="1" applyProtection="1">
      <alignment horizontal="center" vertical="center"/>
      <protection locked="0"/>
    </xf>
    <xf numFmtId="0" fontId="19" fillId="0" borderId="2" xfId="2" applyFont="1" applyFill="1" applyBorder="1" applyAlignment="1" applyProtection="1">
      <alignment horizontal="center" vertical="center"/>
    </xf>
    <xf numFmtId="0" fontId="7" fillId="4" borderId="1" xfId="1" applyFont="1" applyFill="1" applyBorder="1" applyAlignment="1" applyProtection="1">
      <alignment horizontal="left" vertical="center" wrapText="1"/>
      <protection locked="0"/>
    </xf>
    <xf numFmtId="0" fontId="17" fillId="0" borderId="21" xfId="1" applyNumberFormat="1" applyFont="1" applyFill="1" applyBorder="1" applyAlignment="1" applyProtection="1">
      <alignment horizontal="left" vertical="center" wrapText="1"/>
    </xf>
    <xf numFmtId="0" fontId="17" fillId="0" borderId="13" xfId="1" applyNumberFormat="1" applyFont="1" applyFill="1" applyBorder="1" applyAlignment="1" applyProtection="1">
      <alignment horizontal="left" vertical="center" wrapText="1"/>
    </xf>
    <xf numFmtId="0" fontId="17" fillId="0" borderId="34" xfId="1" applyNumberFormat="1" applyFont="1" applyFill="1" applyBorder="1" applyAlignment="1" applyProtection="1">
      <alignment horizontal="left" vertical="center" wrapText="1"/>
    </xf>
    <xf numFmtId="211" fontId="13" fillId="3" borderId="4" xfId="1" applyNumberFormat="1" applyFont="1" applyFill="1" applyBorder="1" applyAlignment="1" applyProtection="1">
      <alignment horizontal="center" vertical="center" wrapText="1"/>
      <protection locked="0"/>
    </xf>
    <xf numFmtId="211" fontId="13" fillId="3" borderId="35" xfId="1" applyNumberFormat="1" applyFont="1" applyFill="1" applyBorder="1" applyAlignment="1" applyProtection="1">
      <alignment horizontal="center" vertical="center" wrapText="1"/>
      <protection locked="0"/>
    </xf>
    <xf numFmtId="211" fontId="13" fillId="3" borderId="29" xfId="1" applyNumberFormat="1" applyFont="1" applyFill="1" applyBorder="1" applyAlignment="1" applyProtection="1">
      <alignment horizontal="center" vertical="center" wrapText="1"/>
      <protection locked="0"/>
    </xf>
    <xf numFmtId="3" fontId="13" fillId="3" borderId="36" xfId="1" quotePrefix="1" applyNumberFormat="1" applyFont="1" applyFill="1" applyBorder="1" applyAlignment="1" applyProtection="1">
      <alignment horizontal="center" vertical="center" wrapText="1"/>
      <protection locked="0"/>
    </xf>
    <xf numFmtId="3" fontId="13" fillId="3" borderId="35" xfId="1" applyNumberFormat="1" applyFont="1" applyFill="1" applyBorder="1" applyAlignment="1" applyProtection="1">
      <alignment horizontal="center" vertical="center" wrapText="1"/>
      <protection locked="0"/>
    </xf>
    <xf numFmtId="3" fontId="13" fillId="3" borderId="37" xfId="1" applyNumberFormat="1" applyFont="1" applyFill="1" applyBorder="1" applyAlignment="1" applyProtection="1">
      <alignment horizontal="center" vertical="center" wrapText="1"/>
      <protection locked="0"/>
    </xf>
    <xf numFmtId="210" fontId="13" fillId="3" borderId="36" xfId="1" applyNumberFormat="1" applyFont="1" applyFill="1" applyBorder="1" applyAlignment="1" applyProtection="1">
      <alignment horizontal="center" vertical="center" wrapText="1"/>
      <protection locked="0"/>
    </xf>
    <xf numFmtId="210" fontId="13" fillId="3" borderId="29" xfId="1" applyNumberFormat="1" applyFont="1" applyFill="1" applyBorder="1" applyAlignment="1" applyProtection="1">
      <alignment horizontal="center" vertical="center" wrapText="1"/>
      <protection locked="0"/>
    </xf>
    <xf numFmtId="0" fontId="10" fillId="0" borderId="38" xfId="1" applyNumberFormat="1" applyFont="1" applyFill="1" applyBorder="1" applyAlignment="1" applyProtection="1">
      <alignment horizontal="center" vertical="center" wrapText="1"/>
    </xf>
    <xf numFmtId="0" fontId="10" fillId="0" borderId="22" xfId="1" applyNumberFormat="1" applyFont="1" applyFill="1" applyBorder="1" applyAlignment="1" applyProtection="1">
      <alignment horizontal="center" vertical="center" wrapText="1"/>
    </xf>
    <xf numFmtId="0" fontId="15" fillId="0" borderId="25" xfId="2" applyFont="1" applyFill="1" applyBorder="1" applyAlignment="1" applyProtection="1">
      <alignment horizontal="left" vertical="center" wrapText="1"/>
    </xf>
    <xf numFmtId="0" fontId="15" fillId="0" borderId="20" xfId="2" applyFont="1" applyFill="1" applyBorder="1" applyAlignment="1" applyProtection="1">
      <alignment horizontal="left" vertical="center" wrapText="1"/>
    </xf>
    <xf numFmtId="0" fontId="15" fillId="0" borderId="33" xfId="2" applyFont="1" applyFill="1" applyBorder="1" applyAlignment="1" applyProtection="1">
      <alignment horizontal="left" vertical="center" wrapText="1"/>
    </xf>
    <xf numFmtId="49" fontId="16" fillId="0" borderId="39" xfId="2" applyNumberFormat="1" applyFont="1" applyFill="1" applyBorder="1" applyAlignment="1" applyProtection="1">
      <alignment horizontal="center" vertical="top"/>
    </xf>
    <xf numFmtId="49" fontId="16" fillId="0" borderId="2" xfId="2" applyNumberFormat="1" applyFont="1" applyFill="1" applyBorder="1" applyAlignment="1" applyProtection="1">
      <alignment horizontal="center" vertical="top"/>
    </xf>
    <xf numFmtId="49" fontId="16" fillId="0" borderId="40" xfId="2" applyNumberFormat="1" applyFont="1" applyFill="1" applyBorder="1" applyAlignment="1" applyProtection="1">
      <alignment horizontal="center" vertical="top"/>
    </xf>
    <xf numFmtId="0" fontId="17" fillId="0" borderId="41" xfId="2" applyFont="1" applyFill="1" applyBorder="1" applyAlignment="1" applyProtection="1">
      <alignment horizontal="center"/>
    </xf>
    <xf numFmtId="0" fontId="17" fillId="0" borderId="0" xfId="2" applyFont="1" applyFill="1" applyBorder="1" applyAlignment="1" applyProtection="1">
      <alignment horizontal="center"/>
    </xf>
    <xf numFmtId="0" fontId="17" fillId="0" borderId="42" xfId="2" applyFont="1" applyFill="1" applyBorder="1" applyAlignment="1" applyProtection="1">
      <alignment horizontal="center"/>
    </xf>
    <xf numFmtId="0" fontId="13" fillId="0" borderId="25" xfId="0" applyFont="1" applyFill="1" applyBorder="1" applyAlignment="1" applyProtection="1">
      <alignment horizontal="center" vertical="center"/>
    </xf>
    <xf numFmtId="0" fontId="13" fillId="0" borderId="20" xfId="0" applyFont="1" applyFill="1" applyBorder="1" applyAlignment="1" applyProtection="1">
      <alignment horizontal="center" vertical="center"/>
    </xf>
    <xf numFmtId="0" fontId="13" fillId="0" borderId="33" xfId="0" applyFont="1" applyFill="1" applyBorder="1" applyAlignment="1" applyProtection="1">
      <alignment horizontal="center" vertical="center"/>
    </xf>
    <xf numFmtId="1" fontId="18" fillId="3" borderId="26" xfId="1" applyNumberFormat="1" applyFont="1" applyFill="1" applyBorder="1" applyAlignment="1" applyProtection="1">
      <alignment horizontal="center" vertical="center"/>
      <protection locked="0"/>
    </xf>
    <xf numFmtId="1" fontId="18" fillId="3" borderId="27" xfId="1" applyNumberFormat="1" applyFont="1" applyFill="1" applyBorder="1" applyAlignment="1" applyProtection="1">
      <alignment horizontal="center" vertical="center"/>
      <protection locked="0"/>
    </xf>
    <xf numFmtId="1" fontId="18" fillId="3" borderId="28" xfId="1" applyNumberFormat="1" applyFont="1" applyFill="1" applyBorder="1" applyAlignment="1" applyProtection="1">
      <alignment horizontal="center" vertical="center"/>
      <protection locked="0"/>
    </xf>
    <xf numFmtId="210" fontId="13" fillId="3" borderId="4" xfId="1" applyNumberFormat="1" applyFont="1" applyFill="1" applyBorder="1" applyAlignment="1" applyProtection="1">
      <alignment horizontal="center" vertical="center" wrapText="1"/>
      <protection locked="0"/>
    </xf>
    <xf numFmtId="0" fontId="18" fillId="3" borderId="18" xfId="1" applyFont="1" applyFill="1" applyBorder="1" applyAlignment="1" applyProtection="1">
      <alignment horizontal="left" vertical="top" wrapText="1" shrinkToFit="1"/>
      <protection locked="0"/>
    </xf>
    <xf numFmtId="0" fontId="18" fillId="3" borderId="17" xfId="1" applyFont="1" applyFill="1" applyBorder="1" applyAlignment="1" applyProtection="1">
      <alignment horizontal="left" vertical="top" wrapText="1" shrinkToFit="1"/>
      <protection locked="0"/>
    </xf>
    <xf numFmtId="0" fontId="18" fillId="3" borderId="10" xfId="1" applyFont="1" applyFill="1" applyBorder="1" applyAlignment="1" applyProtection="1">
      <alignment horizontal="left" vertical="top" wrapText="1" shrinkToFit="1"/>
      <protection locked="0"/>
    </xf>
    <xf numFmtId="0" fontId="18" fillId="3" borderId="19" xfId="1" applyFont="1" applyFill="1" applyBorder="1" applyAlignment="1" applyProtection="1">
      <alignment horizontal="left" vertical="top" wrapText="1" shrinkToFit="1"/>
      <protection locked="0"/>
    </xf>
    <xf numFmtId="0" fontId="18" fillId="3" borderId="0" xfId="1" applyFont="1" applyFill="1" applyBorder="1" applyAlignment="1" applyProtection="1">
      <alignment horizontal="left" vertical="top" wrapText="1" shrinkToFit="1"/>
      <protection locked="0"/>
    </xf>
    <xf numFmtId="0" fontId="18" fillId="3" borderId="9" xfId="1" applyFont="1" applyFill="1" applyBorder="1" applyAlignment="1" applyProtection="1">
      <alignment horizontal="left" vertical="top" wrapText="1" shrinkToFit="1"/>
      <protection locked="0"/>
    </xf>
    <xf numFmtId="0" fontId="18" fillId="3" borderId="21" xfId="1" applyFont="1" applyFill="1" applyBorder="1" applyAlignment="1" applyProtection="1">
      <alignment horizontal="left" vertical="top" wrapText="1" shrinkToFit="1"/>
      <protection locked="0"/>
    </xf>
    <xf numFmtId="0" fontId="18" fillId="3" borderId="13" xfId="1" applyFont="1" applyFill="1" applyBorder="1" applyAlignment="1" applyProtection="1">
      <alignment horizontal="left" vertical="top" wrapText="1" shrinkToFit="1"/>
      <protection locked="0"/>
    </xf>
    <xf numFmtId="0" fontId="18" fillId="3" borderId="22" xfId="1" applyFont="1" applyFill="1" applyBorder="1" applyAlignment="1" applyProtection="1">
      <alignment horizontal="left" vertical="top" wrapText="1" shrinkToFit="1"/>
      <protection locked="0"/>
    </xf>
    <xf numFmtId="0" fontId="7" fillId="0" borderId="25" xfId="1" applyFont="1" applyFill="1" applyBorder="1" applyAlignment="1" applyProtection="1">
      <alignment horizontal="left" vertical="center" wrapText="1"/>
    </xf>
    <xf numFmtId="0" fontId="7" fillId="0" borderId="20" xfId="1" applyFont="1" applyFill="1" applyBorder="1" applyAlignment="1" applyProtection="1">
      <alignment horizontal="left" vertical="center" wrapText="1"/>
    </xf>
    <xf numFmtId="0" fontId="7" fillId="0" borderId="13" xfId="1" applyFont="1" applyFill="1" applyBorder="1" applyAlignment="1" applyProtection="1">
      <alignment horizontal="left" vertical="center" wrapText="1"/>
    </xf>
    <xf numFmtId="0" fontId="7" fillId="0" borderId="22" xfId="1" applyFont="1" applyFill="1" applyBorder="1" applyAlignment="1" applyProtection="1">
      <alignment horizontal="left" vertical="center" wrapText="1"/>
    </xf>
    <xf numFmtId="0" fontId="16" fillId="0" borderId="0" xfId="2" applyNumberFormat="1" applyFont="1" applyAlignment="1" applyProtection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3" fillId="0" borderId="48" xfId="1" applyFont="1" applyFill="1" applyBorder="1" applyAlignment="1" applyProtection="1">
      <alignment horizontal="center" vertical="center" wrapText="1"/>
    </xf>
    <xf numFmtId="0" fontId="13" fillId="6" borderId="48" xfId="1" applyFont="1" applyFill="1" applyBorder="1" applyAlignment="1" applyProtection="1">
      <alignment horizontal="center" vertical="center" wrapText="1"/>
    </xf>
    <xf numFmtId="2" fontId="7" fillId="7" borderId="50" xfId="1" applyNumberFormat="1" applyFont="1" applyFill="1" applyBorder="1" applyAlignment="1" applyProtection="1">
      <alignment horizontal="center" vertical="center" wrapText="1"/>
    </xf>
    <xf numFmtId="0" fontId="16" fillId="0" borderId="24" xfId="2" applyFont="1" applyBorder="1" applyAlignment="1" applyProtection="1">
      <alignment horizontal="left" vertical="center"/>
    </xf>
    <xf numFmtId="0" fontId="16" fillId="0" borderId="19" xfId="2" applyFont="1" applyBorder="1" applyAlignment="1" applyProtection="1">
      <alignment horizontal="left" vertical="center"/>
    </xf>
    <xf numFmtId="0" fontId="18" fillId="3" borderId="13" xfId="2" applyFont="1" applyFill="1" applyBorder="1" applyAlignment="1" applyProtection="1">
      <alignment horizontal="left" vertical="center" shrinkToFit="1"/>
      <protection locked="0"/>
    </xf>
    <xf numFmtId="216" fontId="18" fillId="3" borderId="17" xfId="2" applyNumberFormat="1" applyFont="1" applyFill="1" applyBorder="1" applyAlignment="1" applyProtection="1">
      <alignment horizontal="left" vertical="center"/>
      <protection locked="0"/>
    </xf>
    <xf numFmtId="0" fontId="16" fillId="0" borderId="9" xfId="2" applyFont="1" applyFill="1" applyBorder="1" applyAlignment="1" applyProtection="1">
      <alignment horizontal="left" vertical="center" wrapText="1"/>
    </xf>
    <xf numFmtId="0" fontId="16" fillId="0" borderId="24" xfId="2" applyFont="1" applyFill="1" applyBorder="1" applyAlignment="1" applyProtection="1">
      <alignment horizontal="left" vertical="center" wrapText="1"/>
    </xf>
    <xf numFmtId="0" fontId="16" fillId="0" borderId="19" xfId="2" applyFont="1" applyFill="1" applyBorder="1" applyAlignment="1" applyProtection="1">
      <alignment horizontal="left" vertical="center" wrapText="1"/>
    </xf>
    <xf numFmtId="0" fontId="18" fillId="3" borderId="20" xfId="2" applyFont="1" applyFill="1" applyBorder="1" applyAlignment="1" applyProtection="1">
      <alignment horizontal="left" vertical="center"/>
      <protection locked="0"/>
    </xf>
    <xf numFmtId="0" fontId="18" fillId="3" borderId="13" xfId="1" applyNumberFormat="1" applyFont="1" applyFill="1" applyBorder="1" applyAlignment="1" applyProtection="1">
      <alignment horizontal="left" vertical="center" shrinkToFit="1"/>
      <protection locked="0"/>
    </xf>
    <xf numFmtId="2" fontId="18" fillId="6" borderId="47" xfId="1" applyNumberFormat="1" applyFont="1" applyFill="1" applyBorder="1" applyAlignment="1" applyProtection="1">
      <alignment horizontal="center" vertical="center"/>
    </xf>
    <xf numFmtId="2" fontId="18" fillId="6" borderId="48" xfId="1" applyNumberFormat="1" applyFont="1" applyFill="1" applyBorder="1" applyAlignment="1" applyProtection="1">
      <alignment horizontal="center" vertical="center"/>
    </xf>
    <xf numFmtId="0" fontId="7" fillId="6" borderId="48" xfId="1" applyFont="1" applyFill="1" applyBorder="1" applyAlignment="1" applyProtection="1">
      <alignment horizontal="left" vertical="center" wrapText="1"/>
    </xf>
    <xf numFmtId="0" fontId="7" fillId="6" borderId="49" xfId="1" applyFont="1" applyFill="1" applyBorder="1" applyAlignment="1" applyProtection="1">
      <alignment horizontal="left" vertical="center" wrapText="1"/>
    </xf>
    <xf numFmtId="218" fontId="18" fillId="3" borderId="17" xfId="2" applyNumberFormat="1" applyFont="1" applyFill="1" applyBorder="1" applyAlignment="1" applyProtection="1">
      <alignment horizontal="left" vertical="center"/>
      <protection locked="0"/>
    </xf>
    <xf numFmtId="0" fontId="13" fillId="0" borderId="48" xfId="0" applyFont="1" applyBorder="1" applyAlignment="1">
      <alignment horizontal="center" vertical="center" wrapText="1"/>
    </xf>
    <xf numFmtId="0" fontId="7" fillId="7" borderId="50" xfId="1" applyFont="1" applyFill="1" applyBorder="1" applyAlignment="1" applyProtection="1">
      <alignment horizontal="center" vertical="center" wrapText="1"/>
    </xf>
    <xf numFmtId="0" fontId="0" fillId="0" borderId="50" xfId="0" applyBorder="1" applyAlignment="1">
      <alignment horizontal="center" vertical="center" wrapText="1"/>
    </xf>
    <xf numFmtId="0" fontId="7" fillId="0" borderId="48" xfId="1" applyFont="1" applyFill="1" applyBorder="1" applyAlignment="1" applyProtection="1">
      <alignment horizontal="left" vertical="center" wrapText="1"/>
    </xf>
    <xf numFmtId="0" fontId="7" fillId="0" borderId="49" xfId="1" applyFont="1" applyFill="1" applyBorder="1" applyAlignment="1" applyProtection="1">
      <alignment horizontal="left" vertical="center" wrapText="1"/>
    </xf>
    <xf numFmtId="0" fontId="1" fillId="0" borderId="48" xfId="2" applyBorder="1" applyAlignment="1" applyProtection="1">
      <alignment horizontal="left" vertical="center" wrapText="1"/>
    </xf>
    <xf numFmtId="0" fontId="16" fillId="6" borderId="14" xfId="1" applyFont="1" applyFill="1" applyBorder="1" applyAlignment="1" applyProtection="1">
      <alignment horizontal="left" vertical="center" wrapText="1" indent="1"/>
    </xf>
    <xf numFmtId="0" fontId="16" fillId="6" borderId="15" xfId="1" applyFont="1" applyFill="1" applyBorder="1" applyAlignment="1" applyProtection="1">
      <alignment horizontal="left" vertical="center" wrapText="1" indent="1"/>
    </xf>
    <xf numFmtId="0" fontId="16" fillId="6" borderId="16" xfId="1" applyFont="1" applyFill="1" applyBorder="1" applyAlignment="1" applyProtection="1">
      <alignment horizontal="left" vertical="center" wrapText="1" indent="1"/>
    </xf>
    <xf numFmtId="0" fontId="18" fillId="3" borderId="17" xfId="2" applyFont="1" applyFill="1" applyBorder="1" applyAlignment="1" applyProtection="1">
      <alignment horizontal="left" vertical="center"/>
      <protection locked="0"/>
    </xf>
    <xf numFmtId="0" fontId="28" fillId="0" borderId="18" xfId="2" applyFont="1" applyBorder="1" applyAlignment="1" applyProtection="1">
      <alignment horizontal="left" vertical="center" wrapText="1"/>
    </xf>
    <xf numFmtId="0" fontId="28" fillId="0" borderId="17" xfId="2" applyFont="1" applyBorder="1" applyAlignment="1" applyProtection="1">
      <alignment horizontal="left" vertical="center" wrapText="1"/>
    </xf>
    <xf numFmtId="0" fontId="28" fillId="0" borderId="10" xfId="2" applyFont="1" applyBorder="1" applyAlignment="1" applyProtection="1">
      <alignment horizontal="left" vertical="center" wrapText="1"/>
    </xf>
    <xf numFmtId="0" fontId="28" fillId="0" borderId="19" xfId="2" applyFont="1" applyBorder="1" applyAlignment="1" applyProtection="1">
      <alignment horizontal="left" vertical="center" wrapText="1"/>
    </xf>
    <xf numFmtId="0" fontId="28" fillId="0" borderId="0" xfId="2" applyFont="1" applyBorder="1" applyAlignment="1" applyProtection="1">
      <alignment horizontal="left" vertical="center" wrapText="1"/>
    </xf>
    <xf numFmtId="0" fontId="28" fillId="0" borderId="9" xfId="2" applyFont="1" applyBorder="1" applyAlignment="1" applyProtection="1">
      <alignment horizontal="left" vertical="center" wrapText="1"/>
    </xf>
  </cellXfs>
  <cellStyles count="4">
    <cellStyle name="Normal" xfId="0" builtinId="0"/>
    <cellStyle name="Normal_24DefProposta de construção de unidade isolada- v23" xfId="1"/>
    <cellStyle name="Normal_LAE-OGU" xfId="2"/>
    <cellStyle name="Normal_RVT FL - 01" xfId="3"/>
  </cellStyles>
  <dxfs count="9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24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24"/>
      </font>
    </dxf>
    <dxf>
      <font>
        <condense val="0"/>
        <extend val="0"/>
        <color indexed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33</xdr:row>
      <xdr:rowOff>114300</xdr:rowOff>
    </xdr:from>
    <xdr:to>
      <xdr:col>17</xdr:col>
      <xdr:colOff>76200</xdr:colOff>
      <xdr:row>36</xdr:row>
      <xdr:rowOff>142875</xdr:rowOff>
    </xdr:to>
    <xdr:pic macro="[0]!VeriAWP">
      <xdr:nvPicPr>
        <xdr:cNvPr id="337861" name="lcaixa" descr="Logo_CAIXA.gif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1950" y="5638800"/>
          <a:ext cx="1447800" cy="323850"/>
        </a:xfrm>
        <a:prstGeom prst="rect">
          <a:avLst/>
        </a:prstGeom>
        <a:noFill/>
        <a:ln w="50800">
          <a:solidFill>
            <a:srgbClr val="FFFFFF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47625</xdr:colOff>
      <xdr:row>95</xdr:row>
      <xdr:rowOff>38100</xdr:rowOff>
    </xdr:from>
    <xdr:to>
      <xdr:col>7</xdr:col>
      <xdr:colOff>123825</xdr:colOff>
      <xdr:row>97</xdr:row>
      <xdr:rowOff>104775</xdr:rowOff>
    </xdr:to>
    <xdr:sp macro="[0]!InsFot" textlink="">
      <xdr:nvSpPr>
        <xdr:cNvPr id="337862" name="Inst01"/>
        <xdr:cNvSpPr>
          <a:spLocks noChangeArrowheads="1"/>
        </xdr:cNvSpPr>
      </xdr:nvSpPr>
      <xdr:spPr bwMode="auto">
        <a:xfrm>
          <a:off x="104775" y="13287375"/>
          <a:ext cx="228600" cy="333375"/>
        </a:xfrm>
        <a:prstGeom prst="downArrow">
          <a:avLst>
            <a:gd name="adj1" fmla="val 33333"/>
            <a:gd name="adj2" fmla="val 62499"/>
          </a:avLst>
        </a:prstGeom>
        <a:solidFill>
          <a:srgbClr xmlns:mc="http://schemas.openxmlformats.org/markup-compatibility/2006" xmlns:a14="http://schemas.microsoft.com/office/drawing/2010/main" val="3366FF" mc:Ignorable="a14" a14:legacySpreadsheetColorIndex="48"/>
        </a:solidFill>
        <a:ln w="19050" algn="ctr">
          <a:solidFill>
            <a:srgbClr xmlns:mc="http://schemas.openxmlformats.org/markup-compatibility/2006" xmlns:a14="http://schemas.microsoft.com/office/drawing/2010/main" val="333399" mc:Ignorable="a14" a14:legacySpreadsheetColorIndex="62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 fPrintsWithSheet="0"/>
  </xdr:twoCellAnchor>
  <xdr:twoCellAnchor>
    <xdr:from>
      <xdr:col>25</xdr:col>
      <xdr:colOff>123825</xdr:colOff>
      <xdr:row>109</xdr:row>
      <xdr:rowOff>85725</xdr:rowOff>
    </xdr:from>
    <xdr:to>
      <xdr:col>26</xdr:col>
      <xdr:colOff>114300</xdr:colOff>
      <xdr:row>110</xdr:row>
      <xdr:rowOff>95250</xdr:rowOff>
    </xdr:to>
    <xdr:sp macro="[0]!LmpFoto" textlink="">
      <xdr:nvSpPr>
        <xdr:cNvPr id="337863" name="Dele01"/>
        <xdr:cNvSpPr>
          <a:spLocks noChangeArrowheads="1"/>
        </xdr:cNvSpPr>
      </xdr:nvSpPr>
      <xdr:spPr bwMode="auto">
        <a:xfrm>
          <a:off x="3076575" y="15201900"/>
          <a:ext cx="142875" cy="142875"/>
        </a:xfrm>
        <a:prstGeom prst="flowChartSummingJunction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 fPrintsWithSheet="0"/>
  </xdr:twoCellAnchor>
  <xdr:twoCellAnchor>
    <xdr:from>
      <xdr:col>28</xdr:col>
      <xdr:colOff>47625</xdr:colOff>
      <xdr:row>95</xdr:row>
      <xdr:rowOff>38100</xdr:rowOff>
    </xdr:from>
    <xdr:to>
      <xdr:col>29</xdr:col>
      <xdr:colOff>123825</xdr:colOff>
      <xdr:row>97</xdr:row>
      <xdr:rowOff>104775</xdr:rowOff>
    </xdr:to>
    <xdr:sp macro="[0]!InsFot" textlink="">
      <xdr:nvSpPr>
        <xdr:cNvPr id="337864" name="Inst02"/>
        <xdr:cNvSpPr>
          <a:spLocks noChangeArrowheads="1"/>
        </xdr:cNvSpPr>
      </xdr:nvSpPr>
      <xdr:spPr bwMode="auto">
        <a:xfrm>
          <a:off x="3362325" y="13287375"/>
          <a:ext cx="228600" cy="333375"/>
        </a:xfrm>
        <a:prstGeom prst="downArrow">
          <a:avLst>
            <a:gd name="adj1" fmla="val 33333"/>
            <a:gd name="adj2" fmla="val 62499"/>
          </a:avLst>
        </a:prstGeom>
        <a:solidFill>
          <a:srgbClr xmlns:mc="http://schemas.openxmlformats.org/markup-compatibility/2006" xmlns:a14="http://schemas.microsoft.com/office/drawing/2010/main" val="3366FF" mc:Ignorable="a14" a14:legacySpreadsheetColorIndex="48"/>
        </a:solidFill>
        <a:ln w="19050" algn="ctr">
          <a:solidFill>
            <a:srgbClr xmlns:mc="http://schemas.openxmlformats.org/markup-compatibility/2006" xmlns:a14="http://schemas.microsoft.com/office/drawing/2010/main" val="333399" mc:Ignorable="a14" a14:legacySpreadsheetColorIndex="62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 fPrintsWithSheet="0"/>
  </xdr:twoCellAnchor>
  <xdr:twoCellAnchor>
    <xdr:from>
      <xdr:col>47</xdr:col>
      <xdr:colOff>123825</xdr:colOff>
      <xdr:row>109</xdr:row>
      <xdr:rowOff>85725</xdr:rowOff>
    </xdr:from>
    <xdr:to>
      <xdr:col>48</xdr:col>
      <xdr:colOff>114300</xdr:colOff>
      <xdr:row>110</xdr:row>
      <xdr:rowOff>95250</xdr:rowOff>
    </xdr:to>
    <xdr:sp macro="[0]!LmpFoto" textlink="">
      <xdr:nvSpPr>
        <xdr:cNvPr id="337865" name="Dele02"/>
        <xdr:cNvSpPr>
          <a:spLocks noChangeArrowheads="1"/>
        </xdr:cNvSpPr>
      </xdr:nvSpPr>
      <xdr:spPr bwMode="auto">
        <a:xfrm>
          <a:off x="6334125" y="15201900"/>
          <a:ext cx="142875" cy="142875"/>
        </a:xfrm>
        <a:prstGeom prst="flowChartSummingJunction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 fPrintsWithSheet="0"/>
  </xdr:twoCellAnchor>
  <xdr:twoCellAnchor>
    <xdr:from>
      <xdr:col>6</xdr:col>
      <xdr:colOff>47625</xdr:colOff>
      <xdr:row>111</xdr:row>
      <xdr:rowOff>38100</xdr:rowOff>
    </xdr:from>
    <xdr:to>
      <xdr:col>7</xdr:col>
      <xdr:colOff>123825</xdr:colOff>
      <xdr:row>113</xdr:row>
      <xdr:rowOff>104775</xdr:rowOff>
    </xdr:to>
    <xdr:sp macro="[0]!InsFot" textlink="">
      <xdr:nvSpPr>
        <xdr:cNvPr id="337866" name="Inst03"/>
        <xdr:cNvSpPr>
          <a:spLocks noChangeArrowheads="1"/>
        </xdr:cNvSpPr>
      </xdr:nvSpPr>
      <xdr:spPr bwMode="auto">
        <a:xfrm>
          <a:off x="104775" y="15420975"/>
          <a:ext cx="228600" cy="333375"/>
        </a:xfrm>
        <a:prstGeom prst="downArrow">
          <a:avLst>
            <a:gd name="adj1" fmla="val 33333"/>
            <a:gd name="adj2" fmla="val 62499"/>
          </a:avLst>
        </a:prstGeom>
        <a:solidFill>
          <a:srgbClr xmlns:mc="http://schemas.openxmlformats.org/markup-compatibility/2006" xmlns:a14="http://schemas.microsoft.com/office/drawing/2010/main" val="3366FF" mc:Ignorable="a14" a14:legacySpreadsheetColorIndex="48"/>
        </a:solidFill>
        <a:ln w="19050" algn="ctr">
          <a:solidFill>
            <a:srgbClr xmlns:mc="http://schemas.openxmlformats.org/markup-compatibility/2006" xmlns:a14="http://schemas.microsoft.com/office/drawing/2010/main" val="333399" mc:Ignorable="a14" a14:legacySpreadsheetColorIndex="62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 fPrintsWithSheet="0"/>
  </xdr:twoCellAnchor>
  <xdr:twoCellAnchor>
    <xdr:from>
      <xdr:col>25</xdr:col>
      <xdr:colOff>123825</xdr:colOff>
      <xdr:row>125</xdr:row>
      <xdr:rowOff>85725</xdr:rowOff>
    </xdr:from>
    <xdr:to>
      <xdr:col>26</xdr:col>
      <xdr:colOff>114300</xdr:colOff>
      <xdr:row>126</xdr:row>
      <xdr:rowOff>95250</xdr:rowOff>
    </xdr:to>
    <xdr:sp macro="[0]!LmpFoto" textlink="">
      <xdr:nvSpPr>
        <xdr:cNvPr id="337867" name="Dele03"/>
        <xdr:cNvSpPr>
          <a:spLocks noChangeArrowheads="1"/>
        </xdr:cNvSpPr>
      </xdr:nvSpPr>
      <xdr:spPr bwMode="auto">
        <a:xfrm>
          <a:off x="3076575" y="17335500"/>
          <a:ext cx="142875" cy="142875"/>
        </a:xfrm>
        <a:prstGeom prst="flowChartSummingJunction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 fPrintsWithSheet="0"/>
  </xdr:twoCellAnchor>
  <xdr:twoCellAnchor>
    <xdr:from>
      <xdr:col>28</xdr:col>
      <xdr:colOff>47625</xdr:colOff>
      <xdr:row>111</xdr:row>
      <xdr:rowOff>38100</xdr:rowOff>
    </xdr:from>
    <xdr:to>
      <xdr:col>29</xdr:col>
      <xdr:colOff>123825</xdr:colOff>
      <xdr:row>113</xdr:row>
      <xdr:rowOff>104775</xdr:rowOff>
    </xdr:to>
    <xdr:sp macro="[0]!InsFot" textlink="">
      <xdr:nvSpPr>
        <xdr:cNvPr id="337868" name="Inst04"/>
        <xdr:cNvSpPr>
          <a:spLocks noChangeArrowheads="1"/>
        </xdr:cNvSpPr>
      </xdr:nvSpPr>
      <xdr:spPr bwMode="auto">
        <a:xfrm>
          <a:off x="3362325" y="15420975"/>
          <a:ext cx="228600" cy="333375"/>
        </a:xfrm>
        <a:prstGeom prst="downArrow">
          <a:avLst>
            <a:gd name="adj1" fmla="val 33333"/>
            <a:gd name="adj2" fmla="val 62499"/>
          </a:avLst>
        </a:prstGeom>
        <a:solidFill>
          <a:srgbClr xmlns:mc="http://schemas.openxmlformats.org/markup-compatibility/2006" xmlns:a14="http://schemas.microsoft.com/office/drawing/2010/main" val="3366FF" mc:Ignorable="a14" a14:legacySpreadsheetColorIndex="48"/>
        </a:solidFill>
        <a:ln w="19050" algn="ctr">
          <a:solidFill>
            <a:srgbClr xmlns:mc="http://schemas.openxmlformats.org/markup-compatibility/2006" xmlns:a14="http://schemas.microsoft.com/office/drawing/2010/main" val="333399" mc:Ignorable="a14" a14:legacySpreadsheetColorIndex="62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 fPrintsWithSheet="0"/>
  </xdr:twoCellAnchor>
  <xdr:twoCellAnchor>
    <xdr:from>
      <xdr:col>47</xdr:col>
      <xdr:colOff>123825</xdr:colOff>
      <xdr:row>125</xdr:row>
      <xdr:rowOff>85725</xdr:rowOff>
    </xdr:from>
    <xdr:to>
      <xdr:col>48</xdr:col>
      <xdr:colOff>114300</xdr:colOff>
      <xdr:row>126</xdr:row>
      <xdr:rowOff>95250</xdr:rowOff>
    </xdr:to>
    <xdr:sp macro="[0]!LmpFoto" textlink="">
      <xdr:nvSpPr>
        <xdr:cNvPr id="337869" name="Dele04"/>
        <xdr:cNvSpPr>
          <a:spLocks noChangeArrowheads="1"/>
        </xdr:cNvSpPr>
      </xdr:nvSpPr>
      <xdr:spPr bwMode="auto">
        <a:xfrm>
          <a:off x="6334125" y="17335500"/>
          <a:ext cx="142875" cy="142875"/>
        </a:xfrm>
        <a:prstGeom prst="flowChartSummingJunction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 fPrintsWithSheet="0"/>
  </xdr:twoCellAnchor>
  <xdr:twoCellAnchor>
    <xdr:from>
      <xdr:col>6</xdr:col>
      <xdr:colOff>47625</xdr:colOff>
      <xdr:row>127</xdr:row>
      <xdr:rowOff>38100</xdr:rowOff>
    </xdr:from>
    <xdr:to>
      <xdr:col>7</xdr:col>
      <xdr:colOff>123825</xdr:colOff>
      <xdr:row>129</xdr:row>
      <xdr:rowOff>104775</xdr:rowOff>
    </xdr:to>
    <xdr:sp macro="[0]!InsFot" textlink="">
      <xdr:nvSpPr>
        <xdr:cNvPr id="337870" name="Inst05"/>
        <xdr:cNvSpPr>
          <a:spLocks noChangeArrowheads="1"/>
        </xdr:cNvSpPr>
      </xdr:nvSpPr>
      <xdr:spPr bwMode="auto">
        <a:xfrm>
          <a:off x="104775" y="17554575"/>
          <a:ext cx="228600" cy="333375"/>
        </a:xfrm>
        <a:prstGeom prst="downArrow">
          <a:avLst>
            <a:gd name="adj1" fmla="val 33333"/>
            <a:gd name="adj2" fmla="val 62499"/>
          </a:avLst>
        </a:prstGeom>
        <a:solidFill>
          <a:srgbClr xmlns:mc="http://schemas.openxmlformats.org/markup-compatibility/2006" xmlns:a14="http://schemas.microsoft.com/office/drawing/2010/main" val="3366FF" mc:Ignorable="a14" a14:legacySpreadsheetColorIndex="48"/>
        </a:solidFill>
        <a:ln w="19050" algn="ctr">
          <a:solidFill>
            <a:srgbClr xmlns:mc="http://schemas.openxmlformats.org/markup-compatibility/2006" xmlns:a14="http://schemas.microsoft.com/office/drawing/2010/main" val="333399" mc:Ignorable="a14" a14:legacySpreadsheetColorIndex="62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 fPrintsWithSheet="0"/>
  </xdr:twoCellAnchor>
  <xdr:twoCellAnchor>
    <xdr:from>
      <xdr:col>25</xdr:col>
      <xdr:colOff>123825</xdr:colOff>
      <xdr:row>141</xdr:row>
      <xdr:rowOff>85725</xdr:rowOff>
    </xdr:from>
    <xdr:to>
      <xdr:col>26</xdr:col>
      <xdr:colOff>114300</xdr:colOff>
      <xdr:row>142</xdr:row>
      <xdr:rowOff>95250</xdr:rowOff>
    </xdr:to>
    <xdr:sp macro="[0]!LmpFoto" textlink="">
      <xdr:nvSpPr>
        <xdr:cNvPr id="337871" name="Dele05"/>
        <xdr:cNvSpPr>
          <a:spLocks noChangeArrowheads="1"/>
        </xdr:cNvSpPr>
      </xdr:nvSpPr>
      <xdr:spPr bwMode="auto">
        <a:xfrm>
          <a:off x="3076575" y="19469100"/>
          <a:ext cx="142875" cy="142875"/>
        </a:xfrm>
        <a:prstGeom prst="flowChartSummingJunction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 fPrintsWithSheet="0"/>
  </xdr:twoCellAnchor>
  <xdr:twoCellAnchor>
    <xdr:from>
      <xdr:col>28</xdr:col>
      <xdr:colOff>47625</xdr:colOff>
      <xdr:row>127</xdr:row>
      <xdr:rowOff>38100</xdr:rowOff>
    </xdr:from>
    <xdr:to>
      <xdr:col>29</xdr:col>
      <xdr:colOff>123825</xdr:colOff>
      <xdr:row>129</xdr:row>
      <xdr:rowOff>104775</xdr:rowOff>
    </xdr:to>
    <xdr:sp macro="[0]!InsFot" textlink="">
      <xdr:nvSpPr>
        <xdr:cNvPr id="337872" name="Inst06"/>
        <xdr:cNvSpPr>
          <a:spLocks noChangeArrowheads="1"/>
        </xdr:cNvSpPr>
      </xdr:nvSpPr>
      <xdr:spPr bwMode="auto">
        <a:xfrm>
          <a:off x="3362325" y="17554575"/>
          <a:ext cx="228600" cy="333375"/>
        </a:xfrm>
        <a:prstGeom prst="downArrow">
          <a:avLst>
            <a:gd name="adj1" fmla="val 33333"/>
            <a:gd name="adj2" fmla="val 62499"/>
          </a:avLst>
        </a:prstGeom>
        <a:solidFill>
          <a:srgbClr xmlns:mc="http://schemas.openxmlformats.org/markup-compatibility/2006" xmlns:a14="http://schemas.microsoft.com/office/drawing/2010/main" val="3366FF" mc:Ignorable="a14" a14:legacySpreadsheetColorIndex="48"/>
        </a:solidFill>
        <a:ln w="19050" algn="ctr">
          <a:solidFill>
            <a:srgbClr xmlns:mc="http://schemas.openxmlformats.org/markup-compatibility/2006" xmlns:a14="http://schemas.microsoft.com/office/drawing/2010/main" val="333399" mc:Ignorable="a14" a14:legacySpreadsheetColorIndex="62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 fPrintsWithSheet="0"/>
  </xdr:twoCellAnchor>
  <xdr:twoCellAnchor>
    <xdr:from>
      <xdr:col>47</xdr:col>
      <xdr:colOff>123825</xdr:colOff>
      <xdr:row>141</xdr:row>
      <xdr:rowOff>85725</xdr:rowOff>
    </xdr:from>
    <xdr:to>
      <xdr:col>48</xdr:col>
      <xdr:colOff>114300</xdr:colOff>
      <xdr:row>142</xdr:row>
      <xdr:rowOff>95250</xdr:rowOff>
    </xdr:to>
    <xdr:sp macro="[0]!LmpFoto" textlink="">
      <xdr:nvSpPr>
        <xdr:cNvPr id="337873" name="Dele06"/>
        <xdr:cNvSpPr>
          <a:spLocks noChangeArrowheads="1"/>
        </xdr:cNvSpPr>
      </xdr:nvSpPr>
      <xdr:spPr bwMode="auto">
        <a:xfrm>
          <a:off x="6334125" y="19469100"/>
          <a:ext cx="142875" cy="142875"/>
        </a:xfrm>
        <a:prstGeom prst="flowChartSummingJunction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 fPrintsWithSheet="0"/>
  </xdr:twoCellAnchor>
  <xdr:twoCellAnchor editAs="oneCell">
    <xdr:from>
      <xdr:col>8</xdr:col>
      <xdr:colOff>47625</xdr:colOff>
      <xdr:row>2</xdr:row>
      <xdr:rowOff>28575</xdr:rowOff>
    </xdr:from>
    <xdr:to>
      <xdr:col>16</xdr:col>
      <xdr:colOff>66675</xdr:colOff>
      <xdr:row>3</xdr:row>
      <xdr:rowOff>104775</xdr:rowOff>
    </xdr:to>
    <xdr:pic>
      <xdr:nvPicPr>
        <xdr:cNvPr id="337874" name="lcaixa" descr="Logo_CAIXA.gif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9575" y="209550"/>
          <a:ext cx="1238250" cy="304800"/>
        </a:xfrm>
        <a:prstGeom prst="rect">
          <a:avLst/>
        </a:prstGeom>
        <a:noFill/>
        <a:ln w="50800">
          <a:solidFill>
            <a:srgbClr val="FFFFFF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38100</xdr:colOff>
      <xdr:row>54</xdr:row>
      <xdr:rowOff>38100</xdr:rowOff>
    </xdr:from>
    <xdr:to>
      <xdr:col>9</xdr:col>
      <xdr:colOff>114300</xdr:colOff>
      <xdr:row>54</xdr:row>
      <xdr:rowOff>114300</xdr:rowOff>
    </xdr:to>
    <xdr:sp macro="[0]!BotAlt" textlink="">
      <xdr:nvSpPr>
        <xdr:cNvPr id="337875" name="QO001,13.L0C0;L0C-3^"/>
        <xdr:cNvSpPr>
          <a:spLocks noChangeArrowheads="1"/>
        </xdr:cNvSpPr>
      </xdr:nvSpPr>
      <xdr:spPr bwMode="auto">
        <a:xfrm>
          <a:off x="552450" y="8162925"/>
          <a:ext cx="76200" cy="76200"/>
        </a:xfrm>
        <a:prstGeom prst="rect">
          <a:avLst/>
        </a:prstGeom>
        <a:noFill/>
        <a:ln w="12700" algn="ctr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miter lim="800000"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17</xdr:col>
      <xdr:colOff>38100</xdr:colOff>
      <xdr:row>54</xdr:row>
      <xdr:rowOff>38100</xdr:rowOff>
    </xdr:from>
    <xdr:to>
      <xdr:col>17</xdr:col>
      <xdr:colOff>114300</xdr:colOff>
      <xdr:row>54</xdr:row>
      <xdr:rowOff>114300</xdr:rowOff>
    </xdr:to>
    <xdr:sp macro="[0]!BotAlt" textlink="">
      <xdr:nvSpPr>
        <xdr:cNvPr id="337876" name="QO001,23.L0C0;L0C-11^"/>
        <xdr:cNvSpPr>
          <a:spLocks noChangeArrowheads="1"/>
        </xdr:cNvSpPr>
      </xdr:nvSpPr>
      <xdr:spPr bwMode="auto">
        <a:xfrm>
          <a:off x="1771650" y="8162925"/>
          <a:ext cx="76200" cy="76200"/>
        </a:xfrm>
        <a:prstGeom prst="rect">
          <a:avLst/>
        </a:prstGeom>
        <a:noFill/>
        <a:ln w="12700" algn="ctr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miter lim="800000"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25</xdr:col>
      <xdr:colOff>38100</xdr:colOff>
      <xdr:row>54</xdr:row>
      <xdr:rowOff>38100</xdr:rowOff>
    </xdr:from>
    <xdr:to>
      <xdr:col>25</xdr:col>
      <xdr:colOff>114300</xdr:colOff>
      <xdr:row>54</xdr:row>
      <xdr:rowOff>114300</xdr:rowOff>
    </xdr:to>
    <xdr:sp macro="[0]!BotAlt" textlink="">
      <xdr:nvSpPr>
        <xdr:cNvPr id="337877" name="QO001,33.L0C0;L0C-19^L0C7"/>
        <xdr:cNvSpPr>
          <a:spLocks noChangeArrowheads="1"/>
        </xdr:cNvSpPr>
      </xdr:nvSpPr>
      <xdr:spPr bwMode="auto">
        <a:xfrm>
          <a:off x="2990850" y="8162925"/>
          <a:ext cx="76200" cy="76200"/>
        </a:xfrm>
        <a:prstGeom prst="rect">
          <a:avLst/>
        </a:prstGeom>
        <a:noFill/>
        <a:ln w="12700" algn="ctr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miter lim="800000"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9</xdr:col>
      <xdr:colOff>38100</xdr:colOff>
      <xdr:row>56</xdr:row>
      <xdr:rowOff>38100</xdr:rowOff>
    </xdr:from>
    <xdr:to>
      <xdr:col>9</xdr:col>
      <xdr:colOff>114300</xdr:colOff>
      <xdr:row>56</xdr:row>
      <xdr:rowOff>114300</xdr:rowOff>
    </xdr:to>
    <xdr:sp macro="[0]!BotAlt" textlink="">
      <xdr:nvSpPr>
        <xdr:cNvPr id="337878" name="QO002,13.L0C0;L0C-3^"/>
        <xdr:cNvSpPr>
          <a:spLocks noChangeArrowheads="1"/>
        </xdr:cNvSpPr>
      </xdr:nvSpPr>
      <xdr:spPr bwMode="auto">
        <a:xfrm>
          <a:off x="552450" y="8429625"/>
          <a:ext cx="76200" cy="76200"/>
        </a:xfrm>
        <a:prstGeom prst="rect">
          <a:avLst/>
        </a:prstGeom>
        <a:noFill/>
        <a:ln w="12700" algn="ctr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miter lim="800000"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23</xdr:col>
      <xdr:colOff>38100</xdr:colOff>
      <xdr:row>56</xdr:row>
      <xdr:rowOff>38100</xdr:rowOff>
    </xdr:from>
    <xdr:to>
      <xdr:col>23</xdr:col>
      <xdr:colOff>114300</xdr:colOff>
      <xdr:row>56</xdr:row>
      <xdr:rowOff>114300</xdr:rowOff>
    </xdr:to>
    <xdr:sp macro="[0]!BotAlt" textlink="">
      <xdr:nvSpPr>
        <xdr:cNvPr id="337879" name="QO002,23.L0C0;L0C-17^"/>
        <xdr:cNvSpPr>
          <a:spLocks noChangeArrowheads="1"/>
        </xdr:cNvSpPr>
      </xdr:nvSpPr>
      <xdr:spPr bwMode="auto">
        <a:xfrm>
          <a:off x="2686050" y="8429625"/>
          <a:ext cx="76200" cy="76200"/>
        </a:xfrm>
        <a:prstGeom prst="rect">
          <a:avLst/>
        </a:prstGeom>
        <a:noFill/>
        <a:ln w="12700" algn="ctr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miter lim="800000"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37</xdr:col>
      <xdr:colOff>38100</xdr:colOff>
      <xdr:row>56</xdr:row>
      <xdr:rowOff>38100</xdr:rowOff>
    </xdr:from>
    <xdr:to>
      <xdr:col>37</xdr:col>
      <xdr:colOff>114300</xdr:colOff>
      <xdr:row>56</xdr:row>
      <xdr:rowOff>114300</xdr:rowOff>
    </xdr:to>
    <xdr:sp macro="[0]!BotAlt" textlink="">
      <xdr:nvSpPr>
        <xdr:cNvPr id="337880" name="QO002,33.L0C0;L0C-31^"/>
        <xdr:cNvSpPr>
          <a:spLocks noChangeArrowheads="1"/>
        </xdr:cNvSpPr>
      </xdr:nvSpPr>
      <xdr:spPr bwMode="auto">
        <a:xfrm>
          <a:off x="4724400" y="8429625"/>
          <a:ext cx="76200" cy="76200"/>
        </a:xfrm>
        <a:prstGeom prst="rect">
          <a:avLst/>
        </a:prstGeom>
        <a:noFill/>
        <a:ln w="12700" algn="ctr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miter lim="800000"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6</xdr:col>
      <xdr:colOff>19050</xdr:colOff>
      <xdr:row>12</xdr:row>
      <xdr:rowOff>38100</xdr:rowOff>
    </xdr:from>
    <xdr:to>
      <xdr:col>6</xdr:col>
      <xdr:colOff>95250</xdr:colOff>
      <xdr:row>12</xdr:row>
      <xdr:rowOff>114300</xdr:rowOff>
    </xdr:to>
    <xdr:sp macro="" textlink="">
      <xdr:nvSpPr>
        <xdr:cNvPr id="337881" name="Quad1"/>
        <xdr:cNvSpPr>
          <a:spLocks noChangeArrowheads="1"/>
        </xdr:cNvSpPr>
      </xdr:nvSpPr>
      <xdr:spPr bwMode="auto">
        <a:xfrm>
          <a:off x="76200" y="1600200"/>
          <a:ext cx="76200" cy="76200"/>
        </a:xfrm>
        <a:prstGeom prst="rect">
          <a:avLst/>
        </a:prstGeom>
        <a:noFill/>
        <a:ln w="127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</a:extLst>
      </xdr:spPr>
    </xdr:sp>
    <xdr:clientData/>
  </xdr:twoCellAnchor>
  <xdr:twoCellAnchor>
    <xdr:from>
      <xdr:col>10</xdr:col>
      <xdr:colOff>19050</xdr:colOff>
      <xdr:row>12</xdr:row>
      <xdr:rowOff>38100</xdr:rowOff>
    </xdr:from>
    <xdr:to>
      <xdr:col>10</xdr:col>
      <xdr:colOff>95250</xdr:colOff>
      <xdr:row>12</xdr:row>
      <xdr:rowOff>114300</xdr:rowOff>
    </xdr:to>
    <xdr:sp macro="" textlink="">
      <xdr:nvSpPr>
        <xdr:cNvPr id="337882" name="Quad2"/>
        <xdr:cNvSpPr>
          <a:spLocks noChangeArrowheads="1"/>
        </xdr:cNvSpPr>
      </xdr:nvSpPr>
      <xdr:spPr bwMode="auto">
        <a:xfrm>
          <a:off x="685800" y="1600200"/>
          <a:ext cx="76200" cy="76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3333" mc:Ignorable="a14" a14:legacySpreadsheetColorIndex="63"/>
        </a:soli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38100</xdr:colOff>
      <xdr:row>216</xdr:row>
      <xdr:rowOff>38100</xdr:rowOff>
    </xdr:from>
    <xdr:to>
      <xdr:col>8</xdr:col>
      <xdr:colOff>114300</xdr:colOff>
      <xdr:row>216</xdr:row>
      <xdr:rowOff>114300</xdr:rowOff>
    </xdr:to>
    <xdr:sp macro="[0]!BotAlt" textlink="">
      <xdr:nvSpPr>
        <xdr:cNvPr id="337883" name="QO003,11.L0C0;L0C-2^"/>
        <xdr:cNvSpPr>
          <a:spLocks noChangeArrowheads="1"/>
        </xdr:cNvSpPr>
      </xdr:nvSpPr>
      <xdr:spPr bwMode="auto">
        <a:xfrm>
          <a:off x="400050" y="27908250"/>
          <a:ext cx="76200" cy="76200"/>
        </a:xfrm>
        <a:prstGeom prst="rect">
          <a:avLst/>
        </a:prstGeom>
        <a:noFill/>
        <a:ln w="12700" algn="ctr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miter lim="800000"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6</xdr:col>
      <xdr:colOff>47625</xdr:colOff>
      <xdr:row>144</xdr:row>
      <xdr:rowOff>38100</xdr:rowOff>
    </xdr:from>
    <xdr:to>
      <xdr:col>7</xdr:col>
      <xdr:colOff>123825</xdr:colOff>
      <xdr:row>146</xdr:row>
      <xdr:rowOff>104775</xdr:rowOff>
    </xdr:to>
    <xdr:sp macro="[0]!InsFot" textlink="">
      <xdr:nvSpPr>
        <xdr:cNvPr id="337884" name="Inst07"/>
        <xdr:cNvSpPr>
          <a:spLocks noChangeArrowheads="1"/>
        </xdr:cNvSpPr>
      </xdr:nvSpPr>
      <xdr:spPr bwMode="auto">
        <a:xfrm>
          <a:off x="104775" y="19735800"/>
          <a:ext cx="228600" cy="333375"/>
        </a:xfrm>
        <a:prstGeom prst="downArrow">
          <a:avLst>
            <a:gd name="adj1" fmla="val 33333"/>
            <a:gd name="adj2" fmla="val 62499"/>
          </a:avLst>
        </a:prstGeom>
        <a:solidFill>
          <a:srgbClr xmlns:mc="http://schemas.openxmlformats.org/markup-compatibility/2006" xmlns:a14="http://schemas.microsoft.com/office/drawing/2010/main" val="3366FF" mc:Ignorable="a14" a14:legacySpreadsheetColorIndex="48"/>
        </a:solidFill>
        <a:ln w="19050" algn="ctr">
          <a:solidFill>
            <a:srgbClr xmlns:mc="http://schemas.openxmlformats.org/markup-compatibility/2006" xmlns:a14="http://schemas.microsoft.com/office/drawing/2010/main" val="333399" mc:Ignorable="a14" a14:legacySpreadsheetColorIndex="62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 fPrintsWithSheet="0"/>
  </xdr:twoCellAnchor>
  <xdr:twoCellAnchor>
    <xdr:from>
      <xdr:col>25</xdr:col>
      <xdr:colOff>123825</xdr:colOff>
      <xdr:row>158</xdr:row>
      <xdr:rowOff>85725</xdr:rowOff>
    </xdr:from>
    <xdr:to>
      <xdr:col>26</xdr:col>
      <xdr:colOff>114300</xdr:colOff>
      <xdr:row>159</xdr:row>
      <xdr:rowOff>95250</xdr:rowOff>
    </xdr:to>
    <xdr:sp macro="[0]!LmpFoto" textlink="">
      <xdr:nvSpPr>
        <xdr:cNvPr id="337885" name="Dele07"/>
        <xdr:cNvSpPr>
          <a:spLocks noChangeArrowheads="1"/>
        </xdr:cNvSpPr>
      </xdr:nvSpPr>
      <xdr:spPr bwMode="auto">
        <a:xfrm>
          <a:off x="3076575" y="21650325"/>
          <a:ext cx="142875" cy="142875"/>
        </a:xfrm>
        <a:prstGeom prst="flowChartSummingJunction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 fPrintsWithSheet="0"/>
  </xdr:twoCellAnchor>
  <xdr:twoCellAnchor>
    <xdr:from>
      <xdr:col>28</xdr:col>
      <xdr:colOff>47625</xdr:colOff>
      <xdr:row>144</xdr:row>
      <xdr:rowOff>38100</xdr:rowOff>
    </xdr:from>
    <xdr:to>
      <xdr:col>29</xdr:col>
      <xdr:colOff>123825</xdr:colOff>
      <xdr:row>146</xdr:row>
      <xdr:rowOff>104775</xdr:rowOff>
    </xdr:to>
    <xdr:sp macro="[0]!InsFot" textlink="">
      <xdr:nvSpPr>
        <xdr:cNvPr id="337886" name="Inst08"/>
        <xdr:cNvSpPr>
          <a:spLocks noChangeArrowheads="1"/>
        </xdr:cNvSpPr>
      </xdr:nvSpPr>
      <xdr:spPr bwMode="auto">
        <a:xfrm>
          <a:off x="3362325" y="19735800"/>
          <a:ext cx="228600" cy="333375"/>
        </a:xfrm>
        <a:prstGeom prst="downArrow">
          <a:avLst>
            <a:gd name="adj1" fmla="val 33333"/>
            <a:gd name="adj2" fmla="val 62499"/>
          </a:avLst>
        </a:prstGeom>
        <a:solidFill>
          <a:srgbClr xmlns:mc="http://schemas.openxmlformats.org/markup-compatibility/2006" xmlns:a14="http://schemas.microsoft.com/office/drawing/2010/main" val="3366FF" mc:Ignorable="a14" a14:legacySpreadsheetColorIndex="48"/>
        </a:solidFill>
        <a:ln w="19050" algn="ctr">
          <a:solidFill>
            <a:srgbClr xmlns:mc="http://schemas.openxmlformats.org/markup-compatibility/2006" xmlns:a14="http://schemas.microsoft.com/office/drawing/2010/main" val="333399" mc:Ignorable="a14" a14:legacySpreadsheetColorIndex="62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 fPrintsWithSheet="0"/>
  </xdr:twoCellAnchor>
  <xdr:twoCellAnchor>
    <xdr:from>
      <xdr:col>47</xdr:col>
      <xdr:colOff>123825</xdr:colOff>
      <xdr:row>158</xdr:row>
      <xdr:rowOff>85725</xdr:rowOff>
    </xdr:from>
    <xdr:to>
      <xdr:col>48</xdr:col>
      <xdr:colOff>114300</xdr:colOff>
      <xdr:row>159</xdr:row>
      <xdr:rowOff>95250</xdr:rowOff>
    </xdr:to>
    <xdr:sp macro="[0]!LmpFoto" textlink="">
      <xdr:nvSpPr>
        <xdr:cNvPr id="337887" name="Dele08"/>
        <xdr:cNvSpPr>
          <a:spLocks noChangeArrowheads="1"/>
        </xdr:cNvSpPr>
      </xdr:nvSpPr>
      <xdr:spPr bwMode="auto">
        <a:xfrm>
          <a:off x="6334125" y="21650325"/>
          <a:ext cx="142875" cy="142875"/>
        </a:xfrm>
        <a:prstGeom prst="flowChartSummingJunction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 fPrintsWithSheet="0"/>
  </xdr:twoCellAnchor>
  <xdr:twoCellAnchor>
    <xdr:from>
      <xdr:col>6</xdr:col>
      <xdr:colOff>47625</xdr:colOff>
      <xdr:row>160</xdr:row>
      <xdr:rowOff>38100</xdr:rowOff>
    </xdr:from>
    <xdr:to>
      <xdr:col>7</xdr:col>
      <xdr:colOff>123825</xdr:colOff>
      <xdr:row>162</xdr:row>
      <xdr:rowOff>104775</xdr:rowOff>
    </xdr:to>
    <xdr:sp macro="[0]!InsFot" textlink="">
      <xdr:nvSpPr>
        <xdr:cNvPr id="337888" name="Inst09"/>
        <xdr:cNvSpPr>
          <a:spLocks noChangeArrowheads="1"/>
        </xdr:cNvSpPr>
      </xdr:nvSpPr>
      <xdr:spPr bwMode="auto">
        <a:xfrm>
          <a:off x="104775" y="21869400"/>
          <a:ext cx="228600" cy="333375"/>
        </a:xfrm>
        <a:prstGeom prst="downArrow">
          <a:avLst>
            <a:gd name="adj1" fmla="val 33333"/>
            <a:gd name="adj2" fmla="val 62499"/>
          </a:avLst>
        </a:prstGeom>
        <a:solidFill>
          <a:srgbClr xmlns:mc="http://schemas.openxmlformats.org/markup-compatibility/2006" xmlns:a14="http://schemas.microsoft.com/office/drawing/2010/main" val="3366FF" mc:Ignorable="a14" a14:legacySpreadsheetColorIndex="48"/>
        </a:solidFill>
        <a:ln w="19050" algn="ctr">
          <a:solidFill>
            <a:srgbClr xmlns:mc="http://schemas.openxmlformats.org/markup-compatibility/2006" xmlns:a14="http://schemas.microsoft.com/office/drawing/2010/main" val="333399" mc:Ignorable="a14" a14:legacySpreadsheetColorIndex="62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 fPrintsWithSheet="0"/>
  </xdr:twoCellAnchor>
  <xdr:twoCellAnchor>
    <xdr:from>
      <xdr:col>25</xdr:col>
      <xdr:colOff>123825</xdr:colOff>
      <xdr:row>174</xdr:row>
      <xdr:rowOff>85725</xdr:rowOff>
    </xdr:from>
    <xdr:to>
      <xdr:col>26</xdr:col>
      <xdr:colOff>114300</xdr:colOff>
      <xdr:row>175</xdr:row>
      <xdr:rowOff>95250</xdr:rowOff>
    </xdr:to>
    <xdr:sp macro="[0]!LmpFoto" textlink="">
      <xdr:nvSpPr>
        <xdr:cNvPr id="337889" name="Dele09"/>
        <xdr:cNvSpPr>
          <a:spLocks noChangeArrowheads="1"/>
        </xdr:cNvSpPr>
      </xdr:nvSpPr>
      <xdr:spPr bwMode="auto">
        <a:xfrm>
          <a:off x="3076575" y="23783925"/>
          <a:ext cx="142875" cy="142875"/>
        </a:xfrm>
        <a:prstGeom prst="flowChartSummingJunction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 fPrintsWithSheet="0"/>
  </xdr:twoCellAnchor>
  <xdr:twoCellAnchor>
    <xdr:from>
      <xdr:col>28</xdr:col>
      <xdr:colOff>47625</xdr:colOff>
      <xdr:row>160</xdr:row>
      <xdr:rowOff>38100</xdr:rowOff>
    </xdr:from>
    <xdr:to>
      <xdr:col>29</xdr:col>
      <xdr:colOff>123825</xdr:colOff>
      <xdr:row>162</xdr:row>
      <xdr:rowOff>104775</xdr:rowOff>
    </xdr:to>
    <xdr:sp macro="[0]!InsFot" textlink="">
      <xdr:nvSpPr>
        <xdr:cNvPr id="337890" name="Inst10"/>
        <xdr:cNvSpPr>
          <a:spLocks noChangeArrowheads="1"/>
        </xdr:cNvSpPr>
      </xdr:nvSpPr>
      <xdr:spPr bwMode="auto">
        <a:xfrm>
          <a:off x="3362325" y="21869400"/>
          <a:ext cx="228600" cy="333375"/>
        </a:xfrm>
        <a:prstGeom prst="downArrow">
          <a:avLst>
            <a:gd name="adj1" fmla="val 33333"/>
            <a:gd name="adj2" fmla="val 62499"/>
          </a:avLst>
        </a:prstGeom>
        <a:solidFill>
          <a:srgbClr xmlns:mc="http://schemas.openxmlformats.org/markup-compatibility/2006" xmlns:a14="http://schemas.microsoft.com/office/drawing/2010/main" val="3366FF" mc:Ignorable="a14" a14:legacySpreadsheetColorIndex="48"/>
        </a:solidFill>
        <a:ln w="19050" algn="ctr">
          <a:solidFill>
            <a:srgbClr xmlns:mc="http://schemas.openxmlformats.org/markup-compatibility/2006" xmlns:a14="http://schemas.microsoft.com/office/drawing/2010/main" val="333399" mc:Ignorable="a14" a14:legacySpreadsheetColorIndex="62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 fPrintsWithSheet="0"/>
  </xdr:twoCellAnchor>
  <xdr:twoCellAnchor>
    <xdr:from>
      <xdr:col>47</xdr:col>
      <xdr:colOff>123825</xdr:colOff>
      <xdr:row>174</xdr:row>
      <xdr:rowOff>85725</xdr:rowOff>
    </xdr:from>
    <xdr:to>
      <xdr:col>48</xdr:col>
      <xdr:colOff>114300</xdr:colOff>
      <xdr:row>175</xdr:row>
      <xdr:rowOff>95250</xdr:rowOff>
    </xdr:to>
    <xdr:sp macro="[0]!LmpFoto" textlink="">
      <xdr:nvSpPr>
        <xdr:cNvPr id="337891" name="Dele10"/>
        <xdr:cNvSpPr>
          <a:spLocks noChangeArrowheads="1"/>
        </xdr:cNvSpPr>
      </xdr:nvSpPr>
      <xdr:spPr bwMode="auto">
        <a:xfrm>
          <a:off x="6334125" y="23783925"/>
          <a:ext cx="142875" cy="142875"/>
        </a:xfrm>
        <a:prstGeom prst="flowChartSummingJunction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 fPrintsWithSheet="0"/>
  </xdr:twoCellAnchor>
  <xdr:twoCellAnchor>
    <xdr:from>
      <xdr:col>6</xdr:col>
      <xdr:colOff>47625</xdr:colOff>
      <xdr:row>176</xdr:row>
      <xdr:rowOff>38100</xdr:rowOff>
    </xdr:from>
    <xdr:to>
      <xdr:col>7</xdr:col>
      <xdr:colOff>123825</xdr:colOff>
      <xdr:row>178</xdr:row>
      <xdr:rowOff>104775</xdr:rowOff>
    </xdr:to>
    <xdr:sp macro="[0]!InsFot" textlink="">
      <xdr:nvSpPr>
        <xdr:cNvPr id="337892" name="Inst11"/>
        <xdr:cNvSpPr>
          <a:spLocks noChangeArrowheads="1"/>
        </xdr:cNvSpPr>
      </xdr:nvSpPr>
      <xdr:spPr bwMode="auto">
        <a:xfrm>
          <a:off x="104775" y="24003000"/>
          <a:ext cx="228600" cy="333375"/>
        </a:xfrm>
        <a:prstGeom prst="downArrow">
          <a:avLst>
            <a:gd name="adj1" fmla="val 33333"/>
            <a:gd name="adj2" fmla="val 62499"/>
          </a:avLst>
        </a:prstGeom>
        <a:solidFill>
          <a:srgbClr xmlns:mc="http://schemas.openxmlformats.org/markup-compatibility/2006" xmlns:a14="http://schemas.microsoft.com/office/drawing/2010/main" val="3366FF" mc:Ignorable="a14" a14:legacySpreadsheetColorIndex="48"/>
        </a:solidFill>
        <a:ln w="19050" algn="ctr">
          <a:solidFill>
            <a:srgbClr xmlns:mc="http://schemas.openxmlformats.org/markup-compatibility/2006" xmlns:a14="http://schemas.microsoft.com/office/drawing/2010/main" val="333399" mc:Ignorable="a14" a14:legacySpreadsheetColorIndex="62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 fPrintsWithSheet="0"/>
  </xdr:twoCellAnchor>
  <xdr:twoCellAnchor>
    <xdr:from>
      <xdr:col>25</xdr:col>
      <xdr:colOff>123825</xdr:colOff>
      <xdr:row>190</xdr:row>
      <xdr:rowOff>85725</xdr:rowOff>
    </xdr:from>
    <xdr:to>
      <xdr:col>26</xdr:col>
      <xdr:colOff>114300</xdr:colOff>
      <xdr:row>191</xdr:row>
      <xdr:rowOff>95250</xdr:rowOff>
    </xdr:to>
    <xdr:sp macro="[0]!LmpFoto" textlink="">
      <xdr:nvSpPr>
        <xdr:cNvPr id="337893" name="Dele11"/>
        <xdr:cNvSpPr>
          <a:spLocks noChangeArrowheads="1"/>
        </xdr:cNvSpPr>
      </xdr:nvSpPr>
      <xdr:spPr bwMode="auto">
        <a:xfrm>
          <a:off x="3076575" y="25917525"/>
          <a:ext cx="142875" cy="142875"/>
        </a:xfrm>
        <a:prstGeom prst="flowChartSummingJunction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 fPrintsWithSheet="0"/>
  </xdr:twoCellAnchor>
  <xdr:twoCellAnchor>
    <xdr:from>
      <xdr:col>28</xdr:col>
      <xdr:colOff>47625</xdr:colOff>
      <xdr:row>176</xdr:row>
      <xdr:rowOff>38100</xdr:rowOff>
    </xdr:from>
    <xdr:to>
      <xdr:col>29</xdr:col>
      <xdr:colOff>123825</xdr:colOff>
      <xdr:row>178</xdr:row>
      <xdr:rowOff>104775</xdr:rowOff>
    </xdr:to>
    <xdr:sp macro="[0]!InsFot" textlink="">
      <xdr:nvSpPr>
        <xdr:cNvPr id="337894" name="Inst12"/>
        <xdr:cNvSpPr>
          <a:spLocks noChangeArrowheads="1"/>
        </xdr:cNvSpPr>
      </xdr:nvSpPr>
      <xdr:spPr bwMode="auto">
        <a:xfrm>
          <a:off x="3362325" y="24003000"/>
          <a:ext cx="228600" cy="333375"/>
        </a:xfrm>
        <a:prstGeom prst="downArrow">
          <a:avLst>
            <a:gd name="adj1" fmla="val 33333"/>
            <a:gd name="adj2" fmla="val 62499"/>
          </a:avLst>
        </a:prstGeom>
        <a:solidFill>
          <a:srgbClr xmlns:mc="http://schemas.openxmlformats.org/markup-compatibility/2006" xmlns:a14="http://schemas.microsoft.com/office/drawing/2010/main" val="3366FF" mc:Ignorable="a14" a14:legacySpreadsheetColorIndex="48"/>
        </a:solidFill>
        <a:ln w="19050" algn="ctr">
          <a:solidFill>
            <a:srgbClr xmlns:mc="http://schemas.openxmlformats.org/markup-compatibility/2006" xmlns:a14="http://schemas.microsoft.com/office/drawing/2010/main" val="333399" mc:Ignorable="a14" a14:legacySpreadsheetColorIndex="62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 fPrintsWithSheet="0"/>
  </xdr:twoCellAnchor>
  <xdr:twoCellAnchor>
    <xdr:from>
      <xdr:col>47</xdr:col>
      <xdr:colOff>123825</xdr:colOff>
      <xdr:row>190</xdr:row>
      <xdr:rowOff>85725</xdr:rowOff>
    </xdr:from>
    <xdr:to>
      <xdr:col>48</xdr:col>
      <xdr:colOff>114300</xdr:colOff>
      <xdr:row>191</xdr:row>
      <xdr:rowOff>95250</xdr:rowOff>
    </xdr:to>
    <xdr:sp macro="[0]!LmpFoto" textlink="">
      <xdr:nvSpPr>
        <xdr:cNvPr id="337895" name="Dele12"/>
        <xdr:cNvSpPr>
          <a:spLocks noChangeArrowheads="1"/>
        </xdr:cNvSpPr>
      </xdr:nvSpPr>
      <xdr:spPr bwMode="auto">
        <a:xfrm>
          <a:off x="6334125" y="25917525"/>
          <a:ext cx="142875" cy="142875"/>
        </a:xfrm>
        <a:prstGeom prst="flowChartSummingJunction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 fPrintsWithSheet="0"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1A0000"/>
        </a:solidFill>
        <a:ln w="19050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1A0000"/>
        </a:solidFill>
        <a:ln w="19050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07">
    <tabColor indexed="31"/>
    <pageSetUpPr fitToPage="1"/>
  </sheetPr>
  <dimension ref="A1:BV227"/>
  <sheetViews>
    <sheetView showGridLines="0" tabSelected="1" topLeftCell="F31" zoomScaleNormal="100" zoomScaleSheetLayoutView="100" workbookViewId="0">
      <selection activeCell="AF35" sqref="AF35:AG35"/>
    </sheetView>
  </sheetViews>
  <sheetFormatPr defaultColWidth="3.7109375" defaultRowHeight="12.75" x14ac:dyDescent="0.2"/>
  <cols>
    <col min="1" max="2" width="6.7109375" style="29" hidden="1" customWidth="1"/>
    <col min="3" max="4" width="6.7109375" style="36" hidden="1" customWidth="1"/>
    <col min="5" max="5" width="6.7109375" style="5" hidden="1" customWidth="1"/>
    <col min="6" max="6" width="0.85546875" style="43" customWidth="1"/>
    <col min="7" max="27" width="2.28515625" style="43" customWidth="1"/>
    <col min="28" max="28" width="0.85546875" style="43" customWidth="1"/>
    <col min="29" max="49" width="2.28515625" style="43" customWidth="1"/>
    <col min="50" max="50" width="0.85546875" style="43" customWidth="1"/>
    <col min="51" max="51" width="4.7109375" style="43" customWidth="1"/>
    <col min="52" max="52" width="4.7109375" style="34" customWidth="1"/>
    <col min="53" max="53" width="4.7109375" style="44" customWidth="1"/>
    <col min="54" max="54" width="8.7109375" style="44" customWidth="1"/>
    <col min="55" max="55" width="14.140625" style="44" bestFit="1" customWidth="1"/>
    <col min="56" max="56" width="8.7109375" style="44" customWidth="1"/>
    <col min="57" max="57" width="11.7109375" style="44" customWidth="1"/>
    <col min="58" max="58" width="2.7109375" style="44" customWidth="1"/>
    <col min="59" max="59" width="20.7109375" style="44" customWidth="1"/>
    <col min="60" max="60" width="10.7109375" style="44" customWidth="1"/>
    <col min="61" max="96" width="3.7109375" style="43" customWidth="1"/>
    <col min="97" max="98" width="3" style="43" customWidth="1"/>
    <col min="99" max="16384" width="3.7109375" style="43"/>
  </cols>
  <sheetData>
    <row r="1" spans="1:74" ht="5.0999999999999996" hidden="1" customHeight="1" x14ac:dyDescent="0.2">
      <c r="D1" s="42"/>
      <c r="F1" s="35" t="s">
        <v>42</v>
      </c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  <c r="AX1" s="35" t="s">
        <v>90</v>
      </c>
    </row>
    <row r="2" spans="1:74" s="41" customFormat="1" ht="14.25" x14ac:dyDescent="0.2">
      <c r="A2" s="37" t="s">
        <v>7</v>
      </c>
      <c r="B2" s="45" t="s">
        <v>8</v>
      </c>
      <c r="C2" s="37" t="s">
        <v>9</v>
      </c>
      <c r="D2" s="37" t="s">
        <v>10</v>
      </c>
      <c r="E2" s="37" t="s">
        <v>11</v>
      </c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76"/>
      <c r="U2" s="76"/>
      <c r="V2" s="76"/>
      <c r="W2" s="76"/>
      <c r="X2" s="76"/>
      <c r="Y2" s="76"/>
      <c r="Z2" s="76"/>
      <c r="AA2" s="76"/>
      <c r="AB2" s="76"/>
      <c r="AC2" s="76"/>
      <c r="AD2" s="76"/>
      <c r="AE2" s="76"/>
      <c r="AF2" s="76"/>
      <c r="AG2" s="76"/>
      <c r="AH2" s="77"/>
      <c r="AI2" s="78"/>
    </row>
    <row r="3" spans="1:74" s="34" customFormat="1" ht="18" x14ac:dyDescent="0.2">
      <c r="A3" s="33"/>
      <c r="B3" s="33"/>
      <c r="C3" s="37"/>
      <c r="D3" s="32"/>
      <c r="E3" s="31"/>
      <c r="F3" s="2"/>
      <c r="G3" s="2"/>
      <c r="H3" s="2"/>
      <c r="I3" s="79"/>
      <c r="J3" s="79"/>
      <c r="K3" s="79"/>
      <c r="L3" s="79"/>
      <c r="M3" s="79"/>
      <c r="N3" s="79"/>
      <c r="O3" s="79"/>
      <c r="P3" s="79"/>
      <c r="Q3" s="79"/>
      <c r="R3" s="2"/>
      <c r="S3" s="2"/>
      <c r="T3" s="191" t="s">
        <v>117</v>
      </c>
      <c r="U3" s="191"/>
      <c r="V3" s="191"/>
      <c r="W3" s="191"/>
      <c r="X3" s="191"/>
      <c r="Y3" s="191"/>
      <c r="Z3" s="191"/>
      <c r="AA3" s="191"/>
      <c r="AB3" s="191"/>
      <c r="AC3" s="191"/>
      <c r="AD3" s="191"/>
      <c r="AE3" s="191"/>
      <c r="AF3" s="191"/>
      <c r="AG3" s="191"/>
      <c r="AH3" s="191"/>
      <c r="AI3" s="191"/>
      <c r="AJ3" s="191"/>
      <c r="AK3" s="191"/>
      <c r="AL3" s="191"/>
      <c r="AM3" s="191"/>
      <c r="AN3" s="191"/>
      <c r="AO3" s="191"/>
      <c r="AP3" s="191"/>
      <c r="AQ3" s="191"/>
      <c r="AR3" s="191"/>
      <c r="AS3" s="191"/>
      <c r="AT3" s="191"/>
      <c r="AU3" s="191"/>
      <c r="AV3" s="2"/>
      <c r="AW3" s="2"/>
      <c r="AX3" s="2"/>
    </row>
    <row r="4" spans="1:74" s="34" customFormat="1" ht="15" x14ac:dyDescent="0.2">
      <c r="A4" s="33">
        <v>1</v>
      </c>
      <c r="B4" s="33"/>
      <c r="C4" s="37"/>
      <c r="D4" s="32"/>
      <c r="E4" s="31"/>
      <c r="F4" s="4"/>
      <c r="G4" s="4"/>
      <c r="H4" s="4"/>
      <c r="I4" s="80"/>
      <c r="J4" s="80"/>
      <c r="K4" s="80"/>
      <c r="L4" s="80"/>
      <c r="M4" s="80"/>
      <c r="N4" s="80"/>
      <c r="O4" s="80"/>
      <c r="P4" s="80"/>
      <c r="Q4" s="80"/>
      <c r="R4" s="4"/>
      <c r="S4" s="4"/>
      <c r="T4" s="192" t="s">
        <v>2</v>
      </c>
      <c r="U4" s="192"/>
      <c r="V4" s="192"/>
      <c r="W4" s="192"/>
      <c r="X4" s="192"/>
      <c r="Y4" s="192"/>
      <c r="Z4" s="192"/>
      <c r="AA4" s="192"/>
      <c r="AB4" s="192"/>
      <c r="AC4" s="192"/>
      <c r="AD4" s="192"/>
      <c r="AE4" s="192"/>
      <c r="AF4" s="192"/>
      <c r="AG4" s="192"/>
      <c r="AH4" s="192"/>
      <c r="AI4" s="192"/>
      <c r="AJ4" s="192"/>
      <c r="AK4" s="192"/>
      <c r="AL4" s="192"/>
      <c r="AM4" s="192"/>
      <c r="AN4" s="192"/>
      <c r="AO4" s="192"/>
      <c r="AP4" s="192"/>
      <c r="AQ4" s="192"/>
      <c r="AR4" s="192"/>
      <c r="AS4" s="192"/>
      <c r="AT4" s="192"/>
      <c r="AU4" s="192"/>
      <c r="AV4" s="4"/>
      <c r="AW4" s="4"/>
      <c r="AX4" s="4"/>
    </row>
    <row r="5" spans="1:74" s="34" customFormat="1" ht="13.5" x14ac:dyDescent="0.2">
      <c r="A5" s="33"/>
      <c r="B5" s="33"/>
      <c r="C5" s="37"/>
      <c r="D5" s="32"/>
      <c r="E5" s="31"/>
      <c r="F5" s="46"/>
      <c r="G5" s="46"/>
      <c r="H5" s="46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193" t="s">
        <v>147</v>
      </c>
      <c r="U5" s="193"/>
      <c r="V5" s="193"/>
      <c r="W5" s="193"/>
      <c r="X5" s="193"/>
      <c r="Y5" s="193"/>
      <c r="Z5" s="193"/>
      <c r="AA5" s="193"/>
      <c r="AB5" s="193"/>
      <c r="AC5" s="193"/>
      <c r="AD5" s="193"/>
      <c r="AE5" s="193"/>
      <c r="AF5" s="193"/>
      <c r="AG5" s="193"/>
      <c r="AH5" s="193"/>
      <c r="AI5" s="193"/>
      <c r="AJ5" s="193"/>
      <c r="AK5" s="193"/>
      <c r="AL5" s="193"/>
      <c r="AM5" s="193"/>
      <c r="AN5" s="193"/>
      <c r="AO5" s="193"/>
      <c r="AP5" s="193"/>
      <c r="AQ5" s="193"/>
      <c r="AR5" s="193"/>
      <c r="AS5" s="193"/>
      <c r="AT5" s="193"/>
      <c r="AU5" s="193"/>
    </row>
    <row r="6" spans="1:74" s="34" customFormat="1" x14ac:dyDescent="0.2">
      <c r="A6" s="33"/>
      <c r="B6" s="33"/>
      <c r="C6" s="37"/>
      <c r="D6" s="32"/>
      <c r="E6" s="31"/>
      <c r="F6" s="44"/>
      <c r="G6" s="48" t="s">
        <v>136</v>
      </c>
      <c r="H6" s="44"/>
      <c r="I6" s="44"/>
      <c r="J6" s="49"/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44"/>
      <c r="BC6" s="50"/>
      <c r="BD6" s="50"/>
      <c r="BE6" s="50"/>
      <c r="BF6" s="50"/>
      <c r="BG6" s="50"/>
      <c r="BH6" s="50"/>
      <c r="BI6" s="50"/>
      <c r="BJ6" s="50"/>
      <c r="BK6" s="50"/>
      <c r="BL6" s="50"/>
      <c r="BM6" s="50"/>
      <c r="BN6" s="50"/>
      <c r="BO6" s="50"/>
      <c r="BP6" s="50"/>
      <c r="BQ6" s="50"/>
      <c r="BR6" s="50"/>
      <c r="BS6" s="50"/>
      <c r="BT6" s="50"/>
      <c r="BU6" s="50"/>
      <c r="BV6" s="50"/>
    </row>
    <row r="7" spans="1:74" s="34" customFormat="1" ht="3.95" customHeight="1" x14ac:dyDescent="0.2">
      <c r="A7" s="33"/>
      <c r="B7" s="33"/>
      <c r="C7" s="37"/>
      <c r="D7" s="32"/>
      <c r="E7" s="40"/>
      <c r="F7" s="51"/>
      <c r="G7" s="52"/>
      <c r="H7" s="52"/>
      <c r="I7" s="53"/>
      <c r="J7" s="51"/>
      <c r="K7" s="51"/>
      <c r="L7" s="51"/>
      <c r="M7" s="51"/>
      <c r="N7" s="51"/>
      <c r="O7" s="51"/>
      <c r="P7" s="51"/>
      <c r="Q7" s="51"/>
      <c r="R7" s="51"/>
      <c r="S7" s="51"/>
      <c r="T7" s="51"/>
      <c r="U7" s="51"/>
      <c r="V7" s="51"/>
      <c r="W7" s="51"/>
      <c r="X7" s="51"/>
      <c r="Y7" s="51"/>
      <c r="Z7" s="51"/>
      <c r="AA7" s="51"/>
      <c r="AB7" s="51"/>
      <c r="AC7" s="51"/>
      <c r="AD7" s="51"/>
      <c r="AE7" s="51"/>
      <c r="AF7" s="51"/>
      <c r="AG7" s="51"/>
      <c r="AH7" s="51"/>
      <c r="BC7" s="50"/>
      <c r="BD7" s="50"/>
      <c r="BE7" s="50"/>
      <c r="BF7" s="50"/>
      <c r="BG7" s="50"/>
      <c r="BH7" s="50"/>
      <c r="BI7" s="50"/>
      <c r="BJ7" s="50"/>
      <c r="BK7" s="50"/>
      <c r="BL7" s="50"/>
      <c r="BM7" s="50"/>
      <c r="BN7" s="50"/>
      <c r="BO7" s="50"/>
      <c r="BP7" s="50"/>
      <c r="BQ7" s="50"/>
      <c r="BR7" s="50"/>
      <c r="BS7" s="50"/>
      <c r="BT7" s="50"/>
      <c r="BU7" s="50"/>
      <c r="BV7" s="50"/>
    </row>
    <row r="8" spans="1:74" s="34" customFormat="1" x14ac:dyDescent="0.2">
      <c r="A8" s="33"/>
      <c r="B8" s="33"/>
      <c r="C8" s="37"/>
      <c r="D8" s="32"/>
      <c r="E8" s="40"/>
      <c r="F8" s="44"/>
      <c r="G8" s="46" t="s">
        <v>89</v>
      </c>
      <c r="H8" s="44"/>
      <c r="I8" s="44"/>
      <c r="J8" s="44"/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BC8" s="50"/>
      <c r="BD8" s="50"/>
      <c r="BE8" s="50"/>
      <c r="BF8" s="50"/>
      <c r="BG8" s="50"/>
      <c r="BH8" s="50"/>
      <c r="BI8" s="50"/>
      <c r="BJ8" s="50"/>
      <c r="BK8" s="50"/>
      <c r="BL8" s="50"/>
      <c r="BM8" s="50"/>
      <c r="BN8" s="50"/>
      <c r="BO8" s="50"/>
      <c r="BP8" s="50"/>
      <c r="BQ8" s="50"/>
      <c r="BR8" s="50"/>
      <c r="BS8" s="50"/>
      <c r="BT8" s="50"/>
      <c r="BU8" s="50"/>
      <c r="BV8" s="50"/>
    </row>
    <row r="9" spans="1:74" s="34" customFormat="1" ht="3.95" customHeight="1" x14ac:dyDescent="0.2">
      <c r="A9" s="33"/>
      <c r="B9" s="33"/>
      <c r="C9" s="37"/>
      <c r="D9" s="32"/>
      <c r="E9" s="40"/>
      <c r="F9" s="51"/>
      <c r="G9" s="52"/>
      <c r="H9" s="52"/>
      <c r="I9" s="53"/>
      <c r="J9" s="51"/>
      <c r="K9" s="51"/>
      <c r="L9" s="51"/>
      <c r="M9" s="51"/>
      <c r="N9" s="51"/>
      <c r="O9" s="51"/>
      <c r="P9" s="51"/>
      <c r="Q9" s="51"/>
      <c r="R9" s="51"/>
      <c r="S9" s="51"/>
      <c r="T9" s="51"/>
      <c r="U9" s="51"/>
      <c r="V9" s="51"/>
      <c r="W9" s="51"/>
      <c r="X9" s="51"/>
      <c r="Y9" s="51"/>
      <c r="Z9" s="51"/>
      <c r="AA9" s="51"/>
      <c r="AB9" s="51"/>
      <c r="AC9" s="51"/>
      <c r="AD9" s="51"/>
      <c r="AE9" s="51"/>
      <c r="AF9" s="51"/>
      <c r="AG9" s="51"/>
      <c r="AH9" s="51"/>
      <c r="BC9" s="50"/>
      <c r="BD9" s="50"/>
      <c r="BE9" s="50"/>
      <c r="BF9" s="50"/>
      <c r="BG9" s="50"/>
      <c r="BH9" s="50"/>
      <c r="BI9" s="50"/>
      <c r="BJ9" s="50"/>
      <c r="BK9" s="50"/>
      <c r="BL9" s="50"/>
      <c r="BM9" s="50"/>
      <c r="BN9" s="50"/>
      <c r="BO9" s="50"/>
      <c r="BP9" s="50"/>
      <c r="BQ9" s="50"/>
      <c r="BR9" s="50"/>
      <c r="BS9" s="50"/>
      <c r="BT9" s="50"/>
      <c r="BU9" s="50"/>
      <c r="BV9" s="50"/>
    </row>
    <row r="10" spans="1:74" s="34" customFormat="1" ht="12.75" customHeight="1" x14ac:dyDescent="0.2">
      <c r="A10" s="33"/>
      <c r="B10" s="33"/>
      <c r="C10" s="37"/>
      <c r="D10" s="32"/>
      <c r="E10" s="40"/>
      <c r="F10" s="51"/>
      <c r="G10" s="174"/>
      <c r="H10" s="175"/>
      <c r="I10" s="176"/>
      <c r="J10" s="51"/>
      <c r="K10" s="177"/>
      <c r="L10" s="178"/>
      <c r="M10" s="179"/>
      <c r="N10" s="44"/>
      <c r="O10" s="180" t="s">
        <v>121</v>
      </c>
      <c r="P10" s="180"/>
      <c r="Q10" s="180"/>
      <c r="R10" s="180"/>
      <c r="S10" s="180"/>
      <c r="T10" s="180"/>
      <c r="U10" s="180"/>
      <c r="V10" s="180"/>
      <c r="W10" s="180"/>
      <c r="X10" s="180"/>
      <c r="Y10" s="180"/>
      <c r="Z10" s="180"/>
      <c r="AA10" s="180"/>
      <c r="AB10" s="180"/>
      <c r="AC10" s="180"/>
      <c r="AD10" s="180"/>
      <c r="AE10" s="180"/>
      <c r="AF10" s="180"/>
      <c r="AG10" s="180"/>
      <c r="AH10" s="180"/>
      <c r="AI10" s="180"/>
      <c r="AJ10" s="180"/>
      <c r="AK10" s="180"/>
      <c r="AL10" s="180"/>
      <c r="AM10" s="180"/>
      <c r="AN10" s="180"/>
      <c r="AO10" s="180"/>
      <c r="AP10" s="180"/>
      <c r="AQ10" s="180"/>
      <c r="AR10" s="180"/>
      <c r="AS10" s="180"/>
      <c r="AT10" s="180"/>
      <c r="AU10" s="180"/>
      <c r="AV10" s="180"/>
      <c r="AW10" s="180"/>
      <c r="BC10" s="50"/>
      <c r="BD10" s="50"/>
      <c r="BE10" s="50"/>
      <c r="BF10" s="50"/>
      <c r="BG10" s="50"/>
      <c r="BH10" s="50"/>
      <c r="BI10" s="50"/>
      <c r="BJ10" s="50"/>
      <c r="BK10" s="50"/>
      <c r="BL10" s="50"/>
      <c r="BM10" s="50"/>
      <c r="BN10" s="50"/>
      <c r="BO10" s="50"/>
      <c r="BP10" s="50"/>
      <c r="BQ10" s="50"/>
      <c r="BR10" s="50"/>
      <c r="BS10" s="50"/>
      <c r="BT10" s="50"/>
      <c r="BU10" s="50"/>
      <c r="BV10" s="50"/>
    </row>
    <row r="11" spans="1:74" s="34" customFormat="1" x14ac:dyDescent="0.2">
      <c r="A11" s="33"/>
      <c r="B11" s="33"/>
      <c r="C11" s="37"/>
      <c r="D11" s="32"/>
      <c r="E11" s="31"/>
      <c r="F11" s="44"/>
      <c r="G11" s="54"/>
      <c r="H11" s="44"/>
      <c r="I11" s="44"/>
      <c r="J11" s="49"/>
      <c r="K11" s="44"/>
      <c r="L11" s="44"/>
      <c r="M11" s="44"/>
      <c r="N11" s="44"/>
      <c r="O11" s="180"/>
      <c r="P11" s="180"/>
      <c r="Q11" s="180"/>
      <c r="R11" s="180"/>
      <c r="S11" s="180"/>
      <c r="T11" s="180"/>
      <c r="U11" s="180"/>
      <c r="V11" s="180"/>
      <c r="W11" s="180"/>
      <c r="X11" s="180"/>
      <c r="Y11" s="180"/>
      <c r="Z11" s="180"/>
      <c r="AA11" s="180"/>
      <c r="AB11" s="180"/>
      <c r="AC11" s="180"/>
      <c r="AD11" s="180"/>
      <c r="AE11" s="180"/>
      <c r="AF11" s="180"/>
      <c r="AG11" s="180"/>
      <c r="AH11" s="180"/>
      <c r="AI11" s="180"/>
      <c r="AJ11" s="180"/>
      <c r="AK11" s="180"/>
      <c r="AL11" s="180"/>
      <c r="AM11" s="180"/>
      <c r="AN11" s="180"/>
      <c r="AO11" s="180"/>
      <c r="AP11" s="180"/>
      <c r="AQ11" s="180"/>
      <c r="AR11" s="180"/>
      <c r="AS11" s="180"/>
      <c r="AT11" s="180"/>
      <c r="AU11" s="180"/>
      <c r="AV11" s="180"/>
      <c r="AW11" s="180"/>
      <c r="BB11" s="72"/>
      <c r="BC11" s="50"/>
      <c r="BD11" s="50"/>
      <c r="BE11" s="50"/>
      <c r="BF11" s="50"/>
      <c r="BG11" s="50"/>
      <c r="BH11" s="50"/>
      <c r="BI11" s="50"/>
      <c r="BJ11" s="50"/>
      <c r="BK11" s="50"/>
      <c r="BL11" s="50"/>
      <c r="BM11" s="50"/>
      <c r="BN11" s="50"/>
      <c r="BO11" s="50"/>
      <c r="BP11" s="50"/>
      <c r="BQ11" s="50"/>
      <c r="BR11" s="50"/>
      <c r="BS11" s="50"/>
      <c r="BT11" s="50"/>
      <c r="BU11" s="50"/>
      <c r="BV11" s="50"/>
    </row>
    <row r="12" spans="1:74" s="34" customFormat="1" ht="3.95" customHeight="1" x14ac:dyDescent="0.2">
      <c r="A12" s="33"/>
      <c r="B12" s="33"/>
      <c r="C12" s="37"/>
      <c r="D12" s="32"/>
      <c r="E12" s="40"/>
      <c r="F12" s="51"/>
      <c r="G12" s="51"/>
      <c r="H12" s="51"/>
      <c r="I12" s="51"/>
      <c r="J12" s="51"/>
      <c r="K12" s="51"/>
      <c r="L12" s="44"/>
      <c r="M12" s="44"/>
      <c r="N12" s="51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51"/>
    </row>
    <row r="13" spans="1:74" s="34" customFormat="1" ht="12.75" customHeight="1" x14ac:dyDescent="0.2">
      <c r="A13" s="33"/>
      <c r="B13" s="33"/>
      <c r="C13" s="37"/>
      <c r="D13" s="32"/>
      <c r="E13" s="40"/>
      <c r="F13" s="51"/>
      <c r="G13" s="185" t="s">
        <v>155</v>
      </c>
      <c r="H13" s="186"/>
      <c r="I13" s="187"/>
      <c r="J13" s="73" t="s">
        <v>156</v>
      </c>
      <c r="K13" s="185" t="s">
        <v>155</v>
      </c>
      <c r="L13" s="186"/>
      <c r="M13" s="187"/>
      <c r="N13" s="44"/>
      <c r="O13" s="188" t="s">
        <v>157</v>
      </c>
      <c r="P13" s="188"/>
      <c r="Q13" s="188"/>
      <c r="R13" s="188"/>
      <c r="S13" s="188"/>
      <c r="T13" s="188"/>
      <c r="U13" s="188"/>
      <c r="V13" s="188"/>
      <c r="W13" s="188"/>
      <c r="X13" s="188"/>
      <c r="Y13" s="188"/>
      <c r="Z13" s="188"/>
      <c r="AA13" s="188"/>
      <c r="AB13" s="188"/>
      <c r="AC13" s="188"/>
      <c r="AD13" s="188"/>
      <c r="AE13" s="188"/>
      <c r="AF13" s="188"/>
      <c r="AG13" s="188"/>
      <c r="AH13" s="188"/>
      <c r="AI13" s="188"/>
      <c r="AJ13" s="188"/>
      <c r="AK13" s="188"/>
      <c r="AL13" s="188"/>
      <c r="AM13" s="188"/>
      <c r="AN13" s="188"/>
      <c r="AO13" s="188"/>
      <c r="AP13" s="188"/>
      <c r="AQ13" s="188"/>
      <c r="AR13" s="188"/>
      <c r="AS13" s="188"/>
      <c r="AT13" s="188"/>
      <c r="AU13" s="188"/>
      <c r="AV13" s="188"/>
      <c r="AW13" s="188"/>
      <c r="AX13" s="74"/>
      <c r="AY13" s="74"/>
      <c r="AZ13" s="74"/>
      <c r="BA13" s="74"/>
      <c r="BB13" s="74"/>
      <c r="BC13" s="74"/>
      <c r="BD13" s="74"/>
      <c r="BE13" s="74"/>
      <c r="BF13" s="74"/>
      <c r="BG13" s="74"/>
      <c r="BH13" s="74"/>
    </row>
    <row r="14" spans="1:74" s="34" customFormat="1" ht="12.75" customHeight="1" x14ac:dyDescent="0.2">
      <c r="A14" s="33"/>
      <c r="B14" s="33"/>
      <c r="C14" s="37"/>
      <c r="D14" s="32"/>
      <c r="E14" s="40"/>
      <c r="F14" s="51"/>
      <c r="G14" s="75"/>
      <c r="H14" s="75"/>
      <c r="I14" s="75"/>
      <c r="K14" s="75"/>
      <c r="L14" s="75"/>
      <c r="M14" s="75"/>
      <c r="N14" s="44"/>
      <c r="O14" s="188"/>
      <c r="P14" s="188"/>
      <c r="Q14" s="188"/>
      <c r="R14" s="188"/>
      <c r="S14" s="188"/>
      <c r="T14" s="188"/>
      <c r="U14" s="188"/>
      <c r="V14" s="188"/>
      <c r="W14" s="188"/>
      <c r="X14" s="188"/>
      <c r="Y14" s="188"/>
      <c r="Z14" s="188"/>
      <c r="AA14" s="188"/>
      <c r="AB14" s="188"/>
      <c r="AC14" s="188"/>
      <c r="AD14" s="188"/>
      <c r="AE14" s="188"/>
      <c r="AF14" s="188"/>
      <c r="AG14" s="188"/>
      <c r="AH14" s="188"/>
      <c r="AI14" s="188"/>
      <c r="AJ14" s="188"/>
      <c r="AK14" s="188"/>
      <c r="AL14" s="188"/>
      <c r="AM14" s="188"/>
      <c r="AN14" s="188"/>
      <c r="AO14" s="188"/>
      <c r="AP14" s="188"/>
      <c r="AQ14" s="188"/>
      <c r="AR14" s="188"/>
      <c r="AS14" s="188"/>
      <c r="AT14" s="188"/>
      <c r="AU14" s="188"/>
      <c r="AV14" s="188"/>
      <c r="AW14" s="188"/>
      <c r="AX14" s="74"/>
      <c r="AY14" s="74"/>
      <c r="AZ14" s="74"/>
      <c r="BA14" s="74"/>
      <c r="BB14" s="74"/>
      <c r="BC14" s="74"/>
      <c r="BD14" s="74"/>
      <c r="BE14" s="74"/>
      <c r="BF14" s="74"/>
      <c r="BG14" s="74"/>
      <c r="BH14" s="74"/>
    </row>
    <row r="15" spans="1:74" s="34" customFormat="1" ht="12.75" customHeight="1" x14ac:dyDescent="0.2">
      <c r="A15" s="33"/>
      <c r="B15" s="33"/>
      <c r="C15" s="37"/>
      <c r="D15" s="32"/>
      <c r="E15" s="40"/>
      <c r="F15" s="51"/>
      <c r="N15" s="44"/>
      <c r="O15" s="188"/>
      <c r="P15" s="188"/>
      <c r="Q15" s="188"/>
      <c r="R15" s="188"/>
      <c r="S15" s="188"/>
      <c r="T15" s="188"/>
      <c r="U15" s="188"/>
      <c r="V15" s="188"/>
      <c r="W15" s="188"/>
      <c r="X15" s="188"/>
      <c r="Y15" s="188"/>
      <c r="Z15" s="188"/>
      <c r="AA15" s="188"/>
      <c r="AB15" s="188"/>
      <c r="AC15" s="188"/>
      <c r="AD15" s="188"/>
      <c r="AE15" s="188"/>
      <c r="AF15" s="188"/>
      <c r="AG15" s="188"/>
      <c r="AH15" s="188"/>
      <c r="AI15" s="188"/>
      <c r="AJ15" s="188"/>
      <c r="AK15" s="188"/>
      <c r="AL15" s="188"/>
      <c r="AM15" s="188"/>
      <c r="AN15" s="188"/>
      <c r="AO15" s="188"/>
      <c r="AP15" s="188"/>
      <c r="AQ15" s="188"/>
      <c r="AR15" s="188"/>
      <c r="AS15" s="188"/>
      <c r="AT15" s="188"/>
      <c r="AU15" s="188"/>
      <c r="AV15" s="188"/>
      <c r="AW15" s="188"/>
      <c r="AX15" s="74"/>
      <c r="AY15" s="74"/>
      <c r="AZ15" s="74"/>
      <c r="BA15" s="74"/>
      <c r="BB15" s="74"/>
      <c r="BC15" s="74"/>
      <c r="BD15" s="74"/>
      <c r="BE15" s="74"/>
      <c r="BF15" s="74"/>
      <c r="BG15" s="74"/>
      <c r="BH15" s="74"/>
    </row>
    <row r="16" spans="1:74" s="34" customFormat="1" x14ac:dyDescent="0.2">
      <c r="A16" s="33"/>
      <c r="B16" s="33"/>
      <c r="C16" s="37"/>
      <c r="D16" s="32"/>
      <c r="E16" s="40"/>
      <c r="F16" s="51"/>
      <c r="G16" s="51"/>
      <c r="H16" s="51"/>
      <c r="I16" s="51"/>
      <c r="J16" s="51"/>
      <c r="K16" s="51"/>
      <c r="L16" s="44"/>
      <c r="M16" s="44"/>
      <c r="N16" s="51"/>
      <c r="O16" s="188"/>
      <c r="P16" s="188"/>
      <c r="Q16" s="188"/>
      <c r="R16" s="188"/>
      <c r="S16" s="188"/>
      <c r="T16" s="188"/>
      <c r="U16" s="188"/>
      <c r="V16" s="188"/>
      <c r="W16" s="188"/>
      <c r="X16" s="188"/>
      <c r="Y16" s="188"/>
      <c r="Z16" s="188"/>
      <c r="AA16" s="188"/>
      <c r="AB16" s="188"/>
      <c r="AC16" s="188"/>
      <c r="AD16" s="188"/>
      <c r="AE16" s="188"/>
      <c r="AF16" s="188"/>
      <c r="AG16" s="188"/>
      <c r="AH16" s="188"/>
      <c r="AI16" s="188"/>
      <c r="AJ16" s="188"/>
      <c r="AK16" s="188"/>
      <c r="AL16" s="188"/>
      <c r="AM16" s="188"/>
      <c r="AN16" s="188"/>
      <c r="AO16" s="188"/>
      <c r="AP16" s="188"/>
      <c r="AQ16" s="188"/>
      <c r="AR16" s="188"/>
      <c r="AS16" s="188"/>
      <c r="AT16" s="188"/>
      <c r="AU16" s="188"/>
      <c r="AV16" s="188"/>
      <c r="AW16" s="188"/>
      <c r="AX16" s="74"/>
      <c r="AY16" s="74"/>
      <c r="AZ16" s="74"/>
      <c r="BA16" s="74"/>
      <c r="BB16" s="74"/>
      <c r="BC16" s="74"/>
      <c r="BD16" s="74"/>
      <c r="BE16" s="74"/>
      <c r="BF16" s="74"/>
      <c r="BG16" s="74"/>
    </row>
    <row r="17" spans="1:60" s="34" customFormat="1" ht="3.95" customHeight="1" x14ac:dyDescent="0.2">
      <c r="A17" s="33"/>
      <c r="B17" s="33"/>
      <c r="C17" s="37"/>
      <c r="D17" s="32"/>
      <c r="E17" s="40"/>
      <c r="F17" s="51"/>
      <c r="G17" s="51"/>
      <c r="H17" s="51"/>
      <c r="I17" s="51"/>
      <c r="J17" s="51"/>
      <c r="K17" s="51"/>
      <c r="L17" s="44"/>
      <c r="M17" s="44"/>
      <c r="N17" s="51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51"/>
    </row>
    <row r="18" spans="1:60" s="34" customFormat="1" ht="27.95" customHeight="1" x14ac:dyDescent="0.2">
      <c r="A18" s="33"/>
      <c r="B18" s="33"/>
      <c r="C18" s="37"/>
      <c r="D18" s="32"/>
      <c r="E18" s="40"/>
      <c r="F18" s="44"/>
      <c r="G18" s="182" t="s">
        <v>118</v>
      </c>
      <c r="H18" s="183"/>
      <c r="I18" s="183"/>
      <c r="J18" s="183"/>
      <c r="K18" s="183"/>
      <c r="L18" s="183"/>
      <c r="M18" s="183"/>
      <c r="N18" s="183"/>
      <c r="O18" s="183"/>
      <c r="P18" s="183"/>
      <c r="Q18" s="183"/>
      <c r="R18" s="183"/>
      <c r="S18" s="183"/>
      <c r="T18" s="183"/>
      <c r="U18" s="183"/>
      <c r="V18" s="183"/>
      <c r="W18" s="183"/>
      <c r="X18" s="183"/>
      <c r="Y18" s="183"/>
      <c r="Z18" s="183"/>
      <c r="AA18" s="183"/>
      <c r="AB18" s="183"/>
      <c r="AC18" s="183"/>
      <c r="AD18" s="183"/>
      <c r="AE18" s="183"/>
      <c r="AF18" s="183"/>
      <c r="AG18" s="183"/>
      <c r="AH18" s="183"/>
      <c r="AI18" s="183"/>
      <c r="AJ18" s="183"/>
      <c r="AK18" s="183"/>
      <c r="AL18" s="183"/>
      <c r="AM18" s="183"/>
      <c r="AN18" s="183"/>
      <c r="AO18" s="183"/>
      <c r="AP18" s="183"/>
      <c r="AQ18" s="183"/>
      <c r="AR18" s="183"/>
      <c r="AS18" s="183"/>
      <c r="AT18" s="183"/>
      <c r="AU18" s="183"/>
      <c r="AV18" s="183"/>
      <c r="AW18" s="184"/>
    </row>
    <row r="19" spans="1:60" s="34" customFormat="1" ht="3.95" customHeight="1" x14ac:dyDescent="0.2">
      <c r="A19" s="33"/>
      <c r="B19" s="33"/>
      <c r="C19" s="37"/>
      <c r="D19" s="32"/>
      <c r="E19" s="40"/>
      <c r="F19" s="51"/>
      <c r="G19" s="51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51"/>
      <c r="AD19" s="51"/>
      <c r="AE19" s="51"/>
      <c r="AF19" s="51"/>
      <c r="AG19" s="51"/>
      <c r="AH19" s="51"/>
    </row>
    <row r="20" spans="1:60" s="34" customFormat="1" ht="12.75" customHeight="1" x14ac:dyDescent="0.2">
      <c r="A20" s="33"/>
      <c r="B20" s="33"/>
      <c r="C20" s="37"/>
      <c r="D20" s="32"/>
      <c r="E20" s="40"/>
      <c r="F20" s="51"/>
      <c r="G20" s="181" t="s">
        <v>119</v>
      </c>
      <c r="H20" s="181"/>
      <c r="I20" s="181"/>
      <c r="J20" s="181"/>
      <c r="K20" s="181"/>
      <c r="L20" s="181"/>
      <c r="M20" s="181"/>
      <c r="N20" s="181"/>
      <c r="O20" s="181"/>
      <c r="P20" s="181"/>
      <c r="Q20" s="181"/>
      <c r="R20" s="181"/>
      <c r="S20" s="181"/>
      <c r="T20" s="181"/>
      <c r="U20" s="181"/>
      <c r="V20" s="181"/>
      <c r="W20" s="181"/>
      <c r="X20" s="181"/>
      <c r="Y20" s="181"/>
      <c r="Z20" s="181"/>
      <c r="AA20" s="181"/>
      <c r="AB20" s="181"/>
      <c r="AC20" s="181"/>
      <c r="AD20" s="181"/>
      <c r="AE20" s="181"/>
      <c r="AF20" s="181"/>
      <c r="AG20" s="181"/>
      <c r="AH20" s="181"/>
      <c r="AI20" s="181"/>
      <c r="AJ20" s="181"/>
      <c r="AK20" s="181"/>
      <c r="AL20" s="181"/>
      <c r="AM20" s="181"/>
      <c r="AN20" s="181"/>
      <c r="AO20" s="181"/>
      <c r="AP20" s="181"/>
      <c r="AQ20" s="181"/>
      <c r="AR20" s="181"/>
      <c r="AS20" s="181"/>
      <c r="AT20" s="181"/>
      <c r="AU20" s="181"/>
      <c r="AV20" s="181"/>
      <c r="AW20" s="181"/>
    </row>
    <row r="21" spans="1:60" s="34" customFormat="1" ht="3.95" customHeight="1" x14ac:dyDescent="0.2">
      <c r="A21" s="33"/>
      <c r="B21" s="33"/>
      <c r="C21" s="37"/>
      <c r="D21" s="32"/>
      <c r="E21" s="40"/>
      <c r="F21" s="51"/>
      <c r="G21" s="55"/>
      <c r="H21" s="55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G21" s="51"/>
      <c r="AH21" s="51"/>
      <c r="AI21" s="51"/>
      <c r="AJ21" s="51"/>
      <c r="AK21" s="51"/>
      <c r="AL21" s="51"/>
      <c r="AM21" s="51"/>
      <c r="AN21" s="51"/>
      <c r="AO21" s="51"/>
      <c r="AP21" s="51"/>
      <c r="AQ21" s="51"/>
      <c r="AR21" s="51"/>
      <c r="AS21" s="51"/>
      <c r="AT21" s="51"/>
      <c r="AU21" s="51"/>
      <c r="AV21" s="51"/>
      <c r="AW21" s="51"/>
      <c r="AX21" s="51"/>
      <c r="AY21" s="51"/>
      <c r="AZ21" s="51"/>
      <c r="BA21" s="51"/>
      <c r="BB21" s="51"/>
      <c r="BC21" s="51"/>
    </row>
    <row r="22" spans="1:60" ht="12" customHeight="1" x14ac:dyDescent="0.2">
      <c r="A22" s="56"/>
      <c r="B22" s="44"/>
      <c r="C22" s="44"/>
      <c r="D22" s="44"/>
      <c r="E22" s="51"/>
      <c r="F22" s="44"/>
      <c r="G22" s="162">
        <v>1</v>
      </c>
      <c r="H22" s="163"/>
      <c r="I22" s="164"/>
      <c r="J22" s="44"/>
      <c r="K22" s="218" t="s">
        <v>6</v>
      </c>
      <c r="L22" s="219"/>
      <c r="M22" s="219"/>
      <c r="N22" s="219"/>
      <c r="O22" s="219"/>
      <c r="P22" s="219"/>
      <c r="Q22" s="219"/>
      <c r="R22" s="219"/>
      <c r="S22" s="219"/>
      <c r="T22" s="219"/>
      <c r="U22" s="219"/>
      <c r="V22" s="219"/>
      <c r="W22" s="219"/>
      <c r="X22" s="219"/>
      <c r="Y22" s="219"/>
      <c r="Z22" s="219"/>
      <c r="AA22" s="219"/>
      <c r="AB22" s="219"/>
      <c r="AC22" s="219"/>
      <c r="AD22" s="219"/>
      <c r="AE22" s="219"/>
      <c r="AF22" s="219"/>
      <c r="AG22" s="219"/>
      <c r="AH22" s="219"/>
      <c r="AI22" s="219"/>
      <c r="AJ22" s="219"/>
      <c r="AK22" s="219"/>
      <c r="AL22" s="219"/>
      <c r="AM22" s="219"/>
      <c r="AN22" s="219"/>
      <c r="AO22" s="219"/>
      <c r="AP22" s="219"/>
      <c r="AQ22" s="219"/>
      <c r="AR22" s="219"/>
      <c r="AS22" s="219"/>
      <c r="AT22" s="219"/>
      <c r="AU22" s="219"/>
      <c r="AV22" s="219"/>
      <c r="AW22" s="220"/>
      <c r="AX22" s="44"/>
      <c r="AY22" s="44"/>
      <c r="AZ22" s="44"/>
    </row>
    <row r="23" spans="1:60" ht="3.95" customHeight="1" x14ac:dyDescent="0.2">
      <c r="A23" s="56"/>
      <c r="B23" s="44"/>
      <c r="C23" s="44"/>
      <c r="D23" s="44"/>
      <c r="E23" s="51"/>
      <c r="F23" s="44"/>
      <c r="G23" s="52"/>
      <c r="H23" s="52"/>
      <c r="I23" s="53"/>
      <c r="J23" s="44"/>
      <c r="K23" s="51"/>
      <c r="L23" s="51"/>
      <c r="M23" s="51"/>
      <c r="N23" s="51"/>
      <c r="O23" s="51"/>
      <c r="P23" s="51"/>
      <c r="Q23" s="51"/>
      <c r="R23" s="51"/>
      <c r="S23" s="51"/>
      <c r="T23" s="51"/>
      <c r="U23" s="51"/>
      <c r="V23" s="51"/>
      <c r="W23" s="51"/>
      <c r="X23" s="51"/>
      <c r="Y23" s="51"/>
      <c r="Z23" s="51"/>
      <c r="AA23" s="51"/>
      <c r="AB23" s="51"/>
      <c r="AC23" s="51"/>
      <c r="AD23" s="51"/>
      <c r="AE23" s="51"/>
      <c r="AF23" s="51"/>
      <c r="AG23" s="51"/>
      <c r="AH23" s="51"/>
      <c r="AI23" s="51"/>
      <c r="AJ23" s="51"/>
      <c r="AK23" s="51"/>
      <c r="AL23" s="51"/>
      <c r="AM23" s="51"/>
      <c r="AN23" s="51"/>
      <c r="AO23" s="51"/>
      <c r="AP23" s="51"/>
      <c r="AQ23" s="51"/>
      <c r="AR23" s="51"/>
      <c r="AS23" s="51"/>
      <c r="AT23" s="51"/>
      <c r="AU23" s="51"/>
      <c r="AV23" s="51"/>
      <c r="AW23" s="51"/>
      <c r="AX23" s="51"/>
      <c r="AY23" s="51"/>
      <c r="AZ23" s="51"/>
      <c r="BA23" s="51"/>
      <c r="BB23" s="51"/>
      <c r="BC23" s="51"/>
      <c r="BD23" s="51"/>
      <c r="BE23" s="51"/>
      <c r="BF23" s="51"/>
      <c r="BG23" s="51"/>
      <c r="BH23" s="51"/>
    </row>
    <row r="24" spans="1:60" ht="38.1" customHeight="1" x14ac:dyDescent="0.2">
      <c r="A24" s="56"/>
      <c r="B24" s="44"/>
      <c r="C24" s="44"/>
      <c r="D24" s="44"/>
      <c r="E24" s="57"/>
      <c r="F24" s="44"/>
      <c r="G24" s="289" t="s">
        <v>3</v>
      </c>
      <c r="H24" s="290"/>
      <c r="I24" s="291"/>
      <c r="J24" s="44"/>
      <c r="K24" s="280" t="s">
        <v>141</v>
      </c>
      <c r="L24" s="281"/>
      <c r="M24" s="281"/>
      <c r="N24" s="281"/>
      <c r="O24" s="281"/>
      <c r="P24" s="281"/>
      <c r="Q24" s="281"/>
      <c r="R24" s="281"/>
      <c r="S24" s="281"/>
      <c r="T24" s="281"/>
      <c r="U24" s="281"/>
      <c r="V24" s="281"/>
      <c r="W24" s="281"/>
      <c r="X24" s="281"/>
      <c r="Y24" s="281"/>
      <c r="Z24" s="281"/>
      <c r="AA24" s="281"/>
      <c r="AB24" s="281"/>
      <c r="AC24" s="281"/>
      <c r="AD24" s="281"/>
      <c r="AE24" s="281"/>
      <c r="AF24" s="281"/>
      <c r="AG24" s="281"/>
      <c r="AH24" s="281"/>
      <c r="AI24" s="281"/>
      <c r="AJ24" s="281"/>
      <c r="AK24" s="281"/>
      <c r="AL24" s="281"/>
      <c r="AM24" s="281"/>
      <c r="AN24" s="281"/>
      <c r="AO24" s="281"/>
      <c r="AP24" s="281"/>
      <c r="AQ24" s="281"/>
      <c r="AR24" s="281"/>
      <c r="AS24" s="281"/>
      <c r="AT24" s="281"/>
      <c r="AU24" s="281"/>
      <c r="AV24" s="281"/>
      <c r="AW24" s="282"/>
      <c r="AX24" s="44"/>
      <c r="AY24" s="44"/>
      <c r="AZ24" s="44"/>
    </row>
    <row r="25" spans="1:60" ht="38.1" customHeight="1" x14ac:dyDescent="0.2">
      <c r="A25" s="56"/>
      <c r="B25" s="44"/>
      <c r="C25" s="44"/>
      <c r="D25" s="44"/>
      <c r="E25" s="57"/>
      <c r="F25" s="44"/>
      <c r="G25" s="289" t="s">
        <v>4</v>
      </c>
      <c r="H25" s="290"/>
      <c r="I25" s="291"/>
      <c r="J25" s="44"/>
      <c r="K25" s="280" t="s">
        <v>142</v>
      </c>
      <c r="L25" s="281"/>
      <c r="M25" s="281"/>
      <c r="N25" s="281"/>
      <c r="O25" s="281"/>
      <c r="P25" s="281"/>
      <c r="Q25" s="281"/>
      <c r="R25" s="281"/>
      <c r="S25" s="281"/>
      <c r="T25" s="281"/>
      <c r="U25" s="281"/>
      <c r="V25" s="281"/>
      <c r="W25" s="281"/>
      <c r="X25" s="281"/>
      <c r="Y25" s="281"/>
      <c r="Z25" s="281"/>
      <c r="AA25" s="281"/>
      <c r="AB25" s="281"/>
      <c r="AC25" s="281"/>
      <c r="AD25" s="281"/>
      <c r="AE25" s="281"/>
      <c r="AF25" s="281"/>
      <c r="AG25" s="281"/>
      <c r="AH25" s="281"/>
      <c r="AI25" s="281"/>
      <c r="AJ25" s="281"/>
      <c r="AK25" s="281"/>
      <c r="AL25" s="281"/>
      <c r="AM25" s="281"/>
      <c r="AN25" s="281"/>
      <c r="AO25" s="281"/>
      <c r="AP25" s="281"/>
      <c r="AQ25" s="281"/>
      <c r="AR25" s="281"/>
      <c r="AS25" s="281"/>
      <c r="AT25" s="281"/>
      <c r="AU25" s="281"/>
      <c r="AV25" s="281"/>
      <c r="AW25" s="282"/>
      <c r="AX25" s="44"/>
      <c r="AY25" s="44"/>
      <c r="AZ25" s="44"/>
    </row>
    <row r="26" spans="1:60" ht="27.95" customHeight="1" x14ac:dyDescent="0.2">
      <c r="A26" s="56"/>
      <c r="B26" s="44"/>
      <c r="C26" s="44"/>
      <c r="D26" s="44"/>
      <c r="E26" s="57"/>
      <c r="F26" s="44"/>
      <c r="G26" s="289" t="s">
        <v>5</v>
      </c>
      <c r="H26" s="290"/>
      <c r="I26" s="291"/>
      <c r="J26" s="44"/>
      <c r="K26" s="280" t="s">
        <v>143</v>
      </c>
      <c r="L26" s="281"/>
      <c r="M26" s="281"/>
      <c r="N26" s="281"/>
      <c r="O26" s="281"/>
      <c r="P26" s="281"/>
      <c r="Q26" s="281"/>
      <c r="R26" s="281"/>
      <c r="S26" s="281"/>
      <c r="T26" s="281"/>
      <c r="U26" s="281"/>
      <c r="V26" s="281"/>
      <c r="W26" s="281"/>
      <c r="X26" s="281"/>
      <c r="Y26" s="281"/>
      <c r="Z26" s="281"/>
      <c r="AA26" s="281"/>
      <c r="AB26" s="281"/>
      <c r="AC26" s="281"/>
      <c r="AD26" s="281"/>
      <c r="AE26" s="281"/>
      <c r="AF26" s="281"/>
      <c r="AG26" s="281"/>
      <c r="AH26" s="281"/>
      <c r="AI26" s="281"/>
      <c r="AJ26" s="281"/>
      <c r="AK26" s="281"/>
      <c r="AL26" s="281"/>
      <c r="AM26" s="281"/>
      <c r="AN26" s="281"/>
      <c r="AO26" s="281"/>
      <c r="AP26" s="281"/>
      <c r="AQ26" s="281"/>
      <c r="AR26" s="281"/>
      <c r="AS26" s="281"/>
      <c r="AT26" s="281"/>
      <c r="AU26" s="281"/>
      <c r="AV26" s="281"/>
      <c r="AW26" s="282"/>
      <c r="AX26" s="44"/>
      <c r="AY26" s="44"/>
      <c r="AZ26" s="44"/>
    </row>
    <row r="27" spans="1:60" ht="12" customHeight="1" x14ac:dyDescent="0.2">
      <c r="A27" s="56"/>
      <c r="B27" s="44"/>
      <c r="C27" s="44"/>
      <c r="D27" s="44"/>
      <c r="E27" s="57"/>
      <c r="F27" s="44"/>
      <c r="G27" s="289" t="s">
        <v>137</v>
      </c>
      <c r="H27" s="290"/>
      <c r="I27" s="291"/>
      <c r="J27" s="44"/>
      <c r="K27" s="280" t="s">
        <v>144</v>
      </c>
      <c r="L27" s="281"/>
      <c r="M27" s="281"/>
      <c r="N27" s="281"/>
      <c r="O27" s="281"/>
      <c r="P27" s="281"/>
      <c r="Q27" s="281"/>
      <c r="R27" s="281"/>
      <c r="S27" s="281"/>
      <c r="T27" s="281"/>
      <c r="U27" s="281"/>
      <c r="V27" s="281"/>
      <c r="W27" s="281"/>
      <c r="X27" s="281"/>
      <c r="Y27" s="281"/>
      <c r="Z27" s="281"/>
      <c r="AA27" s="281"/>
      <c r="AB27" s="281"/>
      <c r="AC27" s="281"/>
      <c r="AD27" s="281"/>
      <c r="AE27" s="281"/>
      <c r="AF27" s="281"/>
      <c r="AG27" s="281"/>
      <c r="AH27" s="281"/>
      <c r="AI27" s="281"/>
      <c r="AJ27" s="281"/>
      <c r="AK27" s="281"/>
      <c r="AL27" s="281"/>
      <c r="AM27" s="281"/>
      <c r="AN27" s="281"/>
      <c r="AO27" s="281"/>
      <c r="AP27" s="281"/>
      <c r="AQ27" s="281"/>
      <c r="AR27" s="281"/>
      <c r="AS27" s="281"/>
      <c r="AT27" s="281"/>
      <c r="AU27" s="281"/>
      <c r="AV27" s="281"/>
      <c r="AW27" s="282"/>
      <c r="AX27" s="44"/>
      <c r="AY27" s="44"/>
      <c r="AZ27" s="44"/>
    </row>
    <row r="28" spans="1:60" ht="12" customHeight="1" x14ac:dyDescent="0.2">
      <c r="A28" s="56"/>
      <c r="B28" s="44"/>
      <c r="C28" s="44"/>
      <c r="D28" s="44"/>
      <c r="E28" s="57"/>
      <c r="F28" s="44"/>
      <c r="G28" s="289" t="s">
        <v>138</v>
      </c>
      <c r="H28" s="290"/>
      <c r="I28" s="291"/>
      <c r="J28" s="44"/>
      <c r="K28" s="280" t="s">
        <v>145</v>
      </c>
      <c r="L28" s="281"/>
      <c r="M28" s="281"/>
      <c r="N28" s="281"/>
      <c r="O28" s="281"/>
      <c r="P28" s="281"/>
      <c r="Q28" s="281"/>
      <c r="R28" s="281"/>
      <c r="S28" s="281"/>
      <c r="T28" s="281"/>
      <c r="U28" s="281"/>
      <c r="V28" s="281"/>
      <c r="W28" s="281"/>
      <c r="X28" s="281"/>
      <c r="Y28" s="281"/>
      <c r="Z28" s="281"/>
      <c r="AA28" s="281"/>
      <c r="AB28" s="281"/>
      <c r="AC28" s="281"/>
      <c r="AD28" s="281"/>
      <c r="AE28" s="281"/>
      <c r="AF28" s="281"/>
      <c r="AG28" s="281"/>
      <c r="AH28" s="281"/>
      <c r="AI28" s="281"/>
      <c r="AJ28" s="281"/>
      <c r="AK28" s="281"/>
      <c r="AL28" s="281"/>
      <c r="AM28" s="281"/>
      <c r="AN28" s="281"/>
      <c r="AO28" s="281"/>
      <c r="AP28" s="281"/>
      <c r="AQ28" s="281"/>
      <c r="AR28" s="281"/>
      <c r="AS28" s="281"/>
      <c r="AT28" s="281"/>
      <c r="AU28" s="281"/>
      <c r="AV28" s="281"/>
      <c r="AW28" s="282"/>
      <c r="AX28" s="44"/>
      <c r="AY28" s="44"/>
      <c r="AZ28" s="44"/>
    </row>
    <row r="29" spans="1:60" s="34" customFormat="1" ht="12.75" customHeight="1" x14ac:dyDescent="0.2">
      <c r="A29" s="33"/>
      <c r="B29" s="33"/>
      <c r="C29" s="37"/>
      <c r="D29" s="32"/>
      <c r="E29" s="40"/>
      <c r="F29" s="51"/>
      <c r="G29" s="289" t="s">
        <v>139</v>
      </c>
      <c r="H29" s="290"/>
      <c r="I29" s="291"/>
      <c r="J29" s="57"/>
      <c r="K29" s="280" t="s">
        <v>146</v>
      </c>
      <c r="L29" s="281"/>
      <c r="M29" s="281"/>
      <c r="N29" s="281"/>
      <c r="O29" s="281"/>
      <c r="P29" s="281"/>
      <c r="Q29" s="281"/>
      <c r="R29" s="281"/>
      <c r="S29" s="281"/>
      <c r="T29" s="281"/>
      <c r="U29" s="281"/>
      <c r="V29" s="281"/>
      <c r="W29" s="281"/>
      <c r="X29" s="281"/>
      <c r="Y29" s="281"/>
      <c r="Z29" s="281"/>
      <c r="AA29" s="281"/>
      <c r="AB29" s="281"/>
      <c r="AC29" s="281"/>
      <c r="AD29" s="281"/>
      <c r="AE29" s="281"/>
      <c r="AF29" s="281"/>
      <c r="AG29" s="281"/>
      <c r="AH29" s="281"/>
      <c r="AI29" s="281"/>
      <c r="AJ29" s="281"/>
      <c r="AK29" s="281"/>
      <c r="AL29" s="281"/>
      <c r="AM29" s="281"/>
      <c r="AN29" s="281"/>
      <c r="AO29" s="281"/>
      <c r="AP29" s="281"/>
      <c r="AQ29" s="281"/>
      <c r="AR29" s="281"/>
      <c r="AS29" s="281"/>
      <c r="AT29" s="281"/>
      <c r="AU29" s="281"/>
      <c r="AV29" s="281"/>
      <c r="AW29" s="282"/>
    </row>
    <row r="30" spans="1:60" ht="24.95" customHeight="1" x14ac:dyDescent="0.2">
      <c r="A30" s="56"/>
      <c r="B30" s="44"/>
      <c r="C30" s="44"/>
      <c r="D30" s="44"/>
      <c r="E30" s="57"/>
      <c r="F30" s="44"/>
      <c r="G30" s="289" t="s">
        <v>140</v>
      </c>
      <c r="H30" s="290"/>
      <c r="I30" s="291"/>
      <c r="J30" s="44"/>
      <c r="K30" s="280" t="s">
        <v>120</v>
      </c>
      <c r="L30" s="281"/>
      <c r="M30" s="281"/>
      <c r="N30" s="281"/>
      <c r="O30" s="281"/>
      <c r="P30" s="281"/>
      <c r="Q30" s="281"/>
      <c r="R30" s="281"/>
      <c r="S30" s="281"/>
      <c r="T30" s="281"/>
      <c r="U30" s="281"/>
      <c r="V30" s="281"/>
      <c r="W30" s="281"/>
      <c r="X30" s="281"/>
      <c r="Y30" s="281"/>
      <c r="Z30" s="281"/>
      <c r="AA30" s="281"/>
      <c r="AB30" s="281"/>
      <c r="AC30" s="281"/>
      <c r="AD30" s="281"/>
      <c r="AE30" s="281"/>
      <c r="AF30" s="281"/>
      <c r="AG30" s="281"/>
      <c r="AH30" s="281"/>
      <c r="AI30" s="281"/>
      <c r="AJ30" s="281"/>
      <c r="AK30" s="281"/>
      <c r="AL30" s="281"/>
      <c r="AM30" s="281"/>
      <c r="AN30" s="281"/>
      <c r="AO30" s="281"/>
      <c r="AP30" s="281"/>
      <c r="AQ30" s="281"/>
      <c r="AR30" s="281"/>
      <c r="AS30" s="281"/>
      <c r="AT30" s="281"/>
      <c r="AU30" s="281"/>
      <c r="AV30" s="281"/>
      <c r="AW30" s="282"/>
      <c r="AX30" s="44"/>
      <c r="AY30" s="44"/>
      <c r="AZ30" s="44"/>
    </row>
    <row r="31" spans="1:60" ht="12" customHeight="1" x14ac:dyDescent="0.2">
      <c r="A31" s="56"/>
      <c r="B31" s="44"/>
      <c r="C31" s="44"/>
      <c r="D31" s="44"/>
      <c r="E31" s="57"/>
      <c r="F31" s="44"/>
      <c r="G31" s="289" t="s">
        <v>14</v>
      </c>
      <c r="H31" s="290"/>
      <c r="I31" s="291"/>
      <c r="J31" s="44"/>
      <c r="K31" s="280" t="s">
        <v>91</v>
      </c>
      <c r="L31" s="281"/>
      <c r="M31" s="281"/>
      <c r="N31" s="281"/>
      <c r="O31" s="281"/>
      <c r="P31" s="281"/>
      <c r="Q31" s="281"/>
      <c r="R31" s="281"/>
      <c r="S31" s="281"/>
      <c r="T31" s="281"/>
      <c r="U31" s="281"/>
      <c r="V31" s="281"/>
      <c r="W31" s="281"/>
      <c r="X31" s="281"/>
      <c r="Y31" s="281"/>
      <c r="Z31" s="281"/>
      <c r="AA31" s="281"/>
      <c r="AB31" s="281"/>
      <c r="AC31" s="281"/>
      <c r="AD31" s="281"/>
      <c r="AE31" s="281"/>
      <c r="AF31" s="281"/>
      <c r="AG31" s="281"/>
      <c r="AH31" s="281"/>
      <c r="AI31" s="281"/>
      <c r="AJ31" s="281"/>
      <c r="AK31" s="281"/>
      <c r="AL31" s="281"/>
      <c r="AM31" s="281"/>
      <c r="AN31" s="281"/>
      <c r="AO31" s="281"/>
      <c r="AP31" s="281"/>
      <c r="AQ31" s="281"/>
      <c r="AR31" s="281"/>
      <c r="AS31" s="281"/>
      <c r="AT31" s="281"/>
      <c r="AU31" s="281"/>
      <c r="AV31" s="281"/>
      <c r="AW31" s="282"/>
      <c r="AX31" s="44"/>
      <c r="AY31" s="44"/>
      <c r="AZ31" s="44"/>
    </row>
    <row r="32" spans="1:60" ht="12.95" customHeight="1" x14ac:dyDescent="0.2">
      <c r="D32" s="42"/>
      <c r="F32" s="35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X32" s="35"/>
    </row>
    <row r="33" spans="1:60" ht="4.5" customHeight="1" x14ac:dyDescent="0.2">
      <c r="A33" s="29" t="e">
        <f>MATCH("mtde",E:E,0)</f>
        <v>#N/A</v>
      </c>
      <c r="B33" s="29">
        <f>MATCH("endfim2",E:E,0)</f>
        <v>58</v>
      </c>
      <c r="C33" s="36" t="s">
        <v>88</v>
      </c>
      <c r="D33" s="36" t="s">
        <v>87</v>
      </c>
      <c r="E33" s="6"/>
      <c r="G33" s="7"/>
      <c r="H33" s="8"/>
      <c r="I33" s="5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9"/>
      <c r="AJ33" s="10"/>
    </row>
    <row r="34" spans="1:60" ht="9.9499999999999993" customHeight="1" x14ac:dyDescent="0.2">
      <c r="A34" s="42" t="s">
        <v>7</v>
      </c>
      <c r="B34" s="59" t="s">
        <v>8</v>
      </c>
      <c r="C34" s="42" t="s">
        <v>9</v>
      </c>
      <c r="D34" s="42" t="s">
        <v>10</v>
      </c>
      <c r="E34" s="60" t="s">
        <v>11</v>
      </c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278" t="s">
        <v>115</v>
      </c>
      <c r="V34" s="279"/>
      <c r="W34" s="267" t="s">
        <v>116</v>
      </c>
      <c r="X34" s="268"/>
      <c r="Y34" s="268"/>
      <c r="Z34" s="268"/>
      <c r="AA34" s="268"/>
      <c r="AB34" s="269"/>
      <c r="AC34" s="11"/>
      <c r="AD34" s="278" t="s">
        <v>93</v>
      </c>
      <c r="AE34" s="279"/>
      <c r="AF34" s="267" t="s">
        <v>94</v>
      </c>
      <c r="AG34" s="268"/>
      <c r="AH34" s="268"/>
      <c r="AI34" s="268"/>
      <c r="AJ34" s="268"/>
      <c r="AK34" s="268"/>
      <c r="AL34" s="268"/>
      <c r="AM34" s="268"/>
      <c r="AN34" s="268"/>
      <c r="AO34" s="268"/>
      <c r="AP34" s="269"/>
      <c r="AQ34" s="34"/>
      <c r="AR34" s="286" t="s">
        <v>12</v>
      </c>
      <c r="AS34" s="287"/>
      <c r="AT34" s="287"/>
      <c r="AU34" s="287"/>
      <c r="AV34" s="287"/>
      <c r="AW34" s="288"/>
      <c r="AX34" s="61"/>
      <c r="AZ34" s="43"/>
    </row>
    <row r="35" spans="1:60" ht="9.9499999999999993" customHeight="1" x14ac:dyDescent="0.2">
      <c r="B35" s="29">
        <f>MATCH(MAX(C37:C203),C37:C203,0)+5</f>
        <v>22</v>
      </c>
      <c r="C35" s="36" t="e">
        <f>MATCH("D",D37:D203,0)+5</f>
        <v>#N/A</v>
      </c>
      <c r="D35" s="42">
        <f>MAX(C37:C58)</f>
        <v>5</v>
      </c>
      <c r="E35" s="12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273" t="s">
        <v>194</v>
      </c>
      <c r="V35" s="274"/>
      <c r="W35" s="274"/>
      <c r="X35" s="274"/>
      <c r="Y35" s="274"/>
      <c r="Z35" s="274"/>
      <c r="AA35" s="274"/>
      <c r="AB35" s="275"/>
      <c r="AC35" s="13"/>
      <c r="AD35" s="276">
        <v>6992</v>
      </c>
      <c r="AE35" s="277"/>
      <c r="AF35" s="295"/>
      <c r="AG35" s="277"/>
      <c r="AH35" s="270"/>
      <c r="AI35" s="271"/>
      <c r="AJ35" s="271"/>
      <c r="AK35" s="272"/>
      <c r="AL35" s="295">
        <v>2021</v>
      </c>
      <c r="AM35" s="277"/>
      <c r="AN35" s="38">
        <v>1</v>
      </c>
      <c r="AO35" s="38">
        <v>1</v>
      </c>
      <c r="AP35" s="39">
        <v>1</v>
      </c>
      <c r="AQ35" s="62"/>
      <c r="AR35" s="283" t="s">
        <v>95</v>
      </c>
      <c r="AS35" s="284"/>
      <c r="AT35" s="284"/>
      <c r="AU35" s="284"/>
      <c r="AV35" s="284"/>
      <c r="AW35" s="285"/>
      <c r="AX35" s="63"/>
      <c r="AZ35" s="43"/>
    </row>
    <row r="36" spans="1:60" ht="3.95" customHeight="1" x14ac:dyDescent="0.2">
      <c r="D36" s="42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30"/>
      <c r="T36" s="30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15"/>
      <c r="AK36" s="55"/>
      <c r="AL36" s="55"/>
      <c r="AM36" s="55"/>
      <c r="AN36" s="55"/>
      <c r="AO36" s="55"/>
      <c r="AP36" s="55"/>
      <c r="AQ36" s="55"/>
      <c r="AR36" s="55"/>
      <c r="AS36" s="55"/>
      <c r="AT36" s="55"/>
      <c r="AU36" s="55"/>
      <c r="AV36" s="55"/>
      <c r="AW36" s="55"/>
      <c r="AX36" s="55"/>
      <c r="AY36" s="34"/>
    </row>
    <row r="37" spans="1:60" ht="12.95" customHeight="1" x14ac:dyDescent="0.2">
      <c r="D37" s="4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65" t="s">
        <v>113</v>
      </c>
      <c r="V37" s="265"/>
      <c r="W37" s="265"/>
      <c r="X37" s="265"/>
      <c r="Y37" s="265"/>
      <c r="Z37" s="265"/>
      <c r="AA37" s="265"/>
      <c r="AB37" s="265"/>
      <c r="AC37" s="265"/>
      <c r="AD37" s="265"/>
      <c r="AE37" s="265"/>
      <c r="AF37" s="265"/>
      <c r="AG37" s="265"/>
      <c r="AH37" s="265"/>
      <c r="AI37" s="265"/>
      <c r="AJ37" s="265"/>
      <c r="AK37" s="265"/>
      <c r="AL37" s="265"/>
      <c r="AM37" s="265"/>
      <c r="AN37" s="265"/>
      <c r="AO37" s="265"/>
      <c r="AP37" s="265"/>
      <c r="AQ37" s="265"/>
      <c r="AR37" s="265"/>
      <c r="AS37" s="265"/>
      <c r="AT37" s="265"/>
      <c r="AU37" s="265"/>
      <c r="AV37" s="265"/>
      <c r="AW37" s="64"/>
      <c r="AX37" s="64"/>
    </row>
    <row r="38" spans="1:60" ht="12.95" customHeight="1" x14ac:dyDescent="0.2">
      <c r="A38" s="29">
        <f>B33</f>
        <v>58</v>
      </c>
      <c r="B38" s="29" t="str">
        <f>C33</f>
        <v>G</v>
      </c>
      <c r="C38" s="36" t="str">
        <f>D33</f>
        <v>AW</v>
      </c>
      <c r="D38" s="42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4"/>
      <c r="T38" s="4"/>
      <c r="U38" s="233" t="s">
        <v>1</v>
      </c>
      <c r="V38" s="234"/>
      <c r="W38" s="234"/>
      <c r="X38" s="234"/>
      <c r="Y38" s="234"/>
      <c r="Z38" s="234"/>
      <c r="AA38" s="234"/>
      <c r="AB38" s="234"/>
      <c r="AC38" s="234"/>
      <c r="AD38" s="234"/>
      <c r="AE38" s="234"/>
      <c r="AF38" s="234"/>
      <c r="AG38" s="234"/>
      <c r="AH38" s="234"/>
      <c r="AI38" s="234"/>
      <c r="AJ38" s="234"/>
      <c r="AK38" s="234"/>
      <c r="AL38" s="234"/>
      <c r="AM38" s="234"/>
      <c r="AN38" s="234"/>
      <c r="AO38" s="234"/>
      <c r="AP38" s="234"/>
      <c r="AQ38" s="234"/>
      <c r="AR38" s="234"/>
      <c r="AS38" s="234"/>
      <c r="AT38" s="234"/>
      <c r="AU38" s="234"/>
      <c r="AV38" s="234"/>
      <c r="AW38" s="65"/>
      <c r="AX38" s="65"/>
    </row>
    <row r="39" spans="1:60" ht="3.95" customHeight="1" x14ac:dyDescent="0.2">
      <c r="D39" s="42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  <c r="AG39" s="17"/>
      <c r="AH39" s="17"/>
      <c r="AI39" s="17"/>
      <c r="AJ39" s="18"/>
    </row>
    <row r="40" spans="1:60" ht="12" customHeight="1" thickBot="1" x14ac:dyDescent="0.25">
      <c r="A40" s="66"/>
      <c r="B40" s="66"/>
      <c r="C40" s="66"/>
      <c r="D40" s="22"/>
      <c r="E40" s="19"/>
      <c r="F40" s="82"/>
      <c r="G40" s="83" t="s">
        <v>158</v>
      </c>
      <c r="H40" s="82"/>
      <c r="I40" s="82"/>
      <c r="J40" s="82"/>
      <c r="K40" s="82"/>
      <c r="L40" s="82"/>
      <c r="M40" s="82"/>
      <c r="N40" s="82"/>
      <c r="O40" s="82"/>
      <c r="P40" s="82"/>
      <c r="Q40" s="82"/>
      <c r="R40" s="82"/>
      <c r="S40" s="82"/>
      <c r="T40" s="82"/>
      <c r="U40" s="82"/>
      <c r="V40" s="82"/>
      <c r="W40" s="82"/>
      <c r="X40" s="82"/>
      <c r="Y40" s="82"/>
      <c r="Z40" s="82"/>
      <c r="AA40" s="82"/>
      <c r="AB40" s="82"/>
      <c r="AC40" s="82"/>
      <c r="AD40" s="82"/>
      <c r="AE40" s="82"/>
      <c r="AF40" s="82"/>
      <c r="AG40" s="82"/>
      <c r="AH40" s="82"/>
      <c r="AI40" s="82"/>
      <c r="AJ40" s="82"/>
      <c r="AK40" s="82"/>
      <c r="AL40" s="82"/>
      <c r="AM40" s="82"/>
      <c r="AN40" s="82"/>
      <c r="AO40" s="82"/>
      <c r="AP40" s="82"/>
      <c r="AQ40" s="82"/>
      <c r="AR40" s="82"/>
      <c r="AS40" s="82"/>
      <c r="AT40" s="82"/>
      <c r="AU40" s="82"/>
      <c r="AV40" s="82"/>
      <c r="AW40" s="82"/>
      <c r="AX40" s="84"/>
    </row>
    <row r="41" spans="1:60" ht="3.95" customHeight="1" x14ac:dyDescent="0.2">
      <c r="C41" s="29"/>
      <c r="D41" s="59"/>
      <c r="E41" s="5" t="s">
        <v>13</v>
      </c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18"/>
      <c r="AL41" s="55"/>
      <c r="AM41" s="55"/>
      <c r="AN41" s="55"/>
      <c r="AO41" s="55"/>
      <c r="AP41" s="55"/>
      <c r="AQ41" s="55"/>
      <c r="BA41" s="34"/>
      <c r="BB41" s="34"/>
      <c r="BC41" s="34"/>
      <c r="BD41" s="34"/>
      <c r="BE41" s="34"/>
      <c r="BF41" s="34"/>
      <c r="BG41" s="34"/>
      <c r="BH41" s="34"/>
    </row>
    <row r="42" spans="1:60" ht="11.1" customHeight="1" x14ac:dyDescent="0.2">
      <c r="C42" s="29"/>
      <c r="D42" s="29"/>
      <c r="G42" s="203" t="s">
        <v>14</v>
      </c>
      <c r="H42" s="204"/>
      <c r="I42" s="205" t="s">
        <v>15</v>
      </c>
      <c r="J42" s="206"/>
      <c r="K42" s="206"/>
      <c r="L42" s="206"/>
      <c r="M42" s="206"/>
      <c r="N42" s="206"/>
      <c r="O42" s="206"/>
      <c r="P42" s="206"/>
      <c r="Q42" s="206"/>
      <c r="R42" s="206"/>
      <c r="S42" s="206"/>
      <c r="T42" s="206"/>
      <c r="U42" s="206"/>
      <c r="V42" s="206"/>
      <c r="W42" s="206"/>
      <c r="X42" s="206"/>
      <c r="Y42" s="206"/>
      <c r="Z42" s="206"/>
      <c r="AA42" s="206"/>
      <c r="AB42" s="206"/>
      <c r="AC42" s="206"/>
      <c r="AD42" s="206"/>
      <c r="AE42" s="206"/>
      <c r="AF42" s="206"/>
      <c r="AG42" s="206"/>
      <c r="AH42" s="206"/>
      <c r="AI42" s="207"/>
      <c r="AJ42" s="203" t="s">
        <v>16</v>
      </c>
      <c r="AK42" s="204"/>
      <c r="AL42" s="208" t="s">
        <v>17</v>
      </c>
      <c r="AM42" s="209"/>
      <c r="AN42" s="209"/>
      <c r="AO42" s="210"/>
      <c r="AP42" s="203" t="s">
        <v>18</v>
      </c>
      <c r="AQ42" s="204"/>
      <c r="AR42" s="208" t="s">
        <v>19</v>
      </c>
      <c r="AS42" s="209"/>
      <c r="AT42" s="209"/>
      <c r="AU42" s="209"/>
      <c r="AV42" s="209"/>
      <c r="AW42" s="210"/>
      <c r="AX42" s="58"/>
      <c r="AY42" s="58"/>
      <c r="BA42" s="34"/>
      <c r="BB42" s="34"/>
      <c r="BC42" s="34"/>
      <c r="BD42" s="34"/>
      <c r="BE42" s="34"/>
      <c r="BF42" s="34"/>
      <c r="BG42" s="34"/>
      <c r="BH42" s="34"/>
    </row>
    <row r="43" spans="1:60" ht="11.1" customHeight="1" x14ac:dyDescent="0.2">
      <c r="C43" s="29">
        <v>1</v>
      </c>
      <c r="D43" s="29">
        <v>4</v>
      </c>
      <c r="G43" s="195"/>
      <c r="H43" s="196"/>
      <c r="I43" s="196"/>
      <c r="J43" s="196"/>
      <c r="K43" s="196"/>
      <c r="L43" s="196"/>
      <c r="M43" s="196"/>
      <c r="N43" s="196"/>
      <c r="O43" s="196"/>
      <c r="P43" s="196"/>
      <c r="Q43" s="196"/>
      <c r="R43" s="196"/>
      <c r="S43" s="196"/>
      <c r="T43" s="196"/>
      <c r="U43" s="196"/>
      <c r="V43" s="196"/>
      <c r="W43" s="196"/>
      <c r="X43" s="196"/>
      <c r="Y43" s="196"/>
      <c r="Z43" s="196"/>
      <c r="AA43" s="196"/>
      <c r="AB43" s="196"/>
      <c r="AC43" s="196"/>
      <c r="AD43" s="196"/>
      <c r="AE43" s="196"/>
      <c r="AF43" s="196"/>
      <c r="AG43" s="196"/>
      <c r="AH43" s="196"/>
      <c r="AI43" s="197"/>
      <c r="AJ43" s="198"/>
      <c r="AK43" s="199"/>
      <c r="AL43" s="199"/>
      <c r="AM43" s="199"/>
      <c r="AN43" s="199"/>
      <c r="AO43" s="200"/>
      <c r="AP43" s="201"/>
      <c r="AQ43" s="202"/>
      <c r="AR43" s="189"/>
      <c r="AS43" s="189"/>
      <c r="AT43" s="189"/>
      <c r="AU43" s="189"/>
      <c r="AV43" s="189"/>
      <c r="AW43" s="190"/>
      <c r="AX43" s="58"/>
      <c r="AY43" s="58"/>
      <c r="BA43" s="34"/>
      <c r="BB43" s="34"/>
      <c r="BC43" s="34"/>
      <c r="BD43" s="34"/>
      <c r="BE43" s="34"/>
      <c r="BF43" s="34"/>
      <c r="BG43" s="34"/>
      <c r="BH43" s="34"/>
    </row>
    <row r="44" spans="1:60" ht="11.1" customHeight="1" x14ac:dyDescent="0.2">
      <c r="C44" s="29"/>
      <c r="D44" s="29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4"/>
      <c r="AL44" s="67"/>
      <c r="AM44" s="67"/>
      <c r="AN44" s="67"/>
      <c r="AO44" s="67"/>
      <c r="AP44" s="67"/>
      <c r="AQ44" s="67"/>
      <c r="AR44" s="67"/>
      <c r="AS44" s="67"/>
      <c r="AT44" s="67"/>
      <c r="AU44" s="67"/>
      <c r="AV44" s="67"/>
      <c r="AW44" s="67"/>
      <c r="AX44" s="34"/>
      <c r="AY44" s="34"/>
      <c r="BA44" s="34"/>
      <c r="BB44" s="34"/>
      <c r="BC44" s="34"/>
      <c r="BD44" s="34"/>
      <c r="BE44" s="34"/>
      <c r="BF44" s="34"/>
      <c r="BG44" s="34"/>
      <c r="BH44" s="34"/>
    </row>
    <row r="45" spans="1:60" ht="11.1" customHeight="1" x14ac:dyDescent="0.2">
      <c r="C45" s="29"/>
      <c r="D45" s="29"/>
      <c r="G45" s="165" t="s">
        <v>24</v>
      </c>
      <c r="H45" s="165"/>
      <c r="I45" s="166" t="s">
        <v>20</v>
      </c>
      <c r="J45" s="166"/>
      <c r="K45" s="166"/>
      <c r="L45" s="166"/>
      <c r="M45" s="166"/>
      <c r="N45" s="166"/>
      <c r="O45" s="166"/>
      <c r="P45" s="166"/>
      <c r="Q45" s="166"/>
      <c r="R45" s="166"/>
      <c r="S45" s="166"/>
      <c r="T45" s="166"/>
      <c r="U45" s="166"/>
      <c r="V45" s="166"/>
      <c r="W45" s="166"/>
      <c r="X45" s="166"/>
      <c r="Y45" s="166"/>
      <c r="Z45" s="165" t="s">
        <v>99</v>
      </c>
      <c r="AA45" s="165"/>
      <c r="AB45" s="166" t="s">
        <v>21</v>
      </c>
      <c r="AC45" s="166"/>
      <c r="AD45" s="166"/>
      <c r="AE45" s="166"/>
      <c r="AF45" s="166"/>
      <c r="AG45" s="166"/>
      <c r="AH45" s="211" t="s">
        <v>22</v>
      </c>
      <c r="AI45" s="212"/>
      <c r="AJ45" s="165" t="s">
        <v>100</v>
      </c>
      <c r="AK45" s="165"/>
      <c r="AL45" s="194" t="s">
        <v>23</v>
      </c>
      <c r="AM45" s="194"/>
      <c r="AN45" s="194"/>
      <c r="AO45" s="194"/>
      <c r="AP45" s="165" t="s">
        <v>101</v>
      </c>
      <c r="AQ45" s="165"/>
      <c r="AR45" s="194" t="s">
        <v>25</v>
      </c>
      <c r="AS45" s="194"/>
      <c r="AT45" s="194"/>
      <c r="AU45" s="194"/>
      <c r="AV45" s="194"/>
      <c r="AW45" s="194"/>
      <c r="AX45" s="58"/>
      <c r="AY45" s="58"/>
      <c r="BA45" s="34"/>
      <c r="BB45" s="34"/>
      <c r="BC45" s="34"/>
      <c r="BD45" s="34"/>
      <c r="BE45" s="34"/>
      <c r="BF45" s="34"/>
      <c r="BG45" s="34"/>
      <c r="BH45" s="34"/>
    </row>
    <row r="46" spans="1:60" ht="11.1" customHeight="1" x14ac:dyDescent="0.2">
      <c r="C46" s="29">
        <v>2</v>
      </c>
      <c r="D46" s="29">
        <v>6</v>
      </c>
      <c r="G46" s="170"/>
      <c r="H46" s="170"/>
      <c r="I46" s="170"/>
      <c r="J46" s="170"/>
      <c r="K46" s="170"/>
      <c r="L46" s="170"/>
      <c r="M46" s="170"/>
      <c r="N46" s="170"/>
      <c r="O46" s="170"/>
      <c r="P46" s="170"/>
      <c r="Q46" s="170"/>
      <c r="R46" s="170"/>
      <c r="S46" s="170"/>
      <c r="T46" s="170"/>
      <c r="U46" s="170"/>
      <c r="V46" s="170"/>
      <c r="W46" s="170"/>
      <c r="X46" s="170"/>
      <c r="Y46" s="170"/>
      <c r="Z46" s="170"/>
      <c r="AA46" s="170"/>
      <c r="AB46" s="170"/>
      <c r="AC46" s="170"/>
      <c r="AD46" s="170"/>
      <c r="AE46" s="170"/>
      <c r="AF46" s="170"/>
      <c r="AG46" s="171"/>
      <c r="AH46" s="172"/>
      <c r="AI46" s="173"/>
      <c r="AJ46" s="224"/>
      <c r="AK46" s="225"/>
      <c r="AL46" s="225"/>
      <c r="AM46" s="225"/>
      <c r="AN46" s="225"/>
      <c r="AO46" s="225"/>
      <c r="AP46" s="201"/>
      <c r="AQ46" s="202"/>
      <c r="AR46" s="189"/>
      <c r="AS46" s="189"/>
      <c r="AT46" s="189"/>
      <c r="AU46" s="189"/>
      <c r="AV46" s="189"/>
      <c r="AW46" s="190"/>
      <c r="AX46" s="58"/>
      <c r="AY46" s="58"/>
      <c r="BA46" s="34"/>
      <c r="BB46" s="34"/>
      <c r="BC46" s="34"/>
      <c r="BD46" s="34"/>
      <c r="BE46" s="34"/>
      <c r="BF46" s="34"/>
      <c r="BG46" s="34"/>
      <c r="BH46" s="34"/>
    </row>
    <row r="47" spans="1:60" ht="11.1" customHeight="1" x14ac:dyDescent="0.2">
      <c r="C47" s="29"/>
      <c r="D47" s="59"/>
      <c r="G47" s="167" t="s">
        <v>48</v>
      </c>
      <c r="H47" s="168"/>
      <c r="I47" s="168"/>
      <c r="J47" s="168"/>
      <c r="K47" s="168"/>
      <c r="L47" s="168"/>
      <c r="M47" s="168"/>
      <c r="N47" s="168"/>
      <c r="O47" s="168"/>
      <c r="P47" s="168"/>
      <c r="Q47" s="168"/>
      <c r="R47" s="168"/>
      <c r="S47" s="168"/>
      <c r="T47" s="168"/>
      <c r="U47" s="168"/>
      <c r="V47" s="168"/>
      <c r="W47" s="168"/>
      <c r="X47" s="168"/>
      <c r="Y47" s="168"/>
      <c r="Z47" s="168"/>
      <c r="AA47" s="168"/>
      <c r="AB47" s="168"/>
      <c r="AC47" s="168"/>
      <c r="AD47" s="168"/>
      <c r="AE47" s="168"/>
      <c r="AF47" s="168"/>
      <c r="AG47" s="168"/>
      <c r="AH47" s="168"/>
      <c r="AI47" s="168"/>
      <c r="AJ47" s="168"/>
      <c r="AK47" s="168"/>
      <c r="AL47" s="168"/>
      <c r="AM47" s="168"/>
      <c r="AN47" s="168"/>
      <c r="AO47" s="168"/>
      <c r="AP47" s="168"/>
      <c r="AQ47" s="168"/>
      <c r="AR47" s="168"/>
      <c r="AS47" s="168"/>
      <c r="AT47" s="168"/>
      <c r="AU47" s="168"/>
      <c r="AV47" s="168"/>
      <c r="AW47" s="169"/>
      <c r="AX47" s="58"/>
      <c r="AY47" s="58"/>
      <c r="BA47" s="34"/>
      <c r="BB47" s="34"/>
      <c r="BC47" s="34"/>
      <c r="BD47" s="34"/>
      <c r="BE47" s="34"/>
      <c r="BF47" s="34"/>
      <c r="BG47" s="34"/>
      <c r="BH47" s="34"/>
    </row>
    <row r="48" spans="1:60" ht="11.1" customHeight="1" x14ac:dyDescent="0.2">
      <c r="C48" s="29"/>
      <c r="D48" s="59"/>
      <c r="G48" s="151" t="s">
        <v>102</v>
      </c>
      <c r="H48" s="153"/>
      <c r="I48" s="221" t="s">
        <v>26</v>
      </c>
      <c r="J48" s="222"/>
      <c r="K48" s="222"/>
      <c r="L48" s="222"/>
      <c r="M48" s="222"/>
      <c r="N48" s="222"/>
      <c r="O48" s="222"/>
      <c r="P48" s="222"/>
      <c r="Q48" s="222"/>
      <c r="R48" s="222"/>
      <c r="S48" s="222"/>
      <c r="T48" s="222"/>
      <c r="U48" s="222"/>
      <c r="V48" s="222"/>
      <c r="W48" s="222"/>
      <c r="X48" s="222"/>
      <c r="Y48" s="222"/>
      <c r="Z48" s="222"/>
      <c r="AA48" s="222"/>
      <c r="AB48" s="222"/>
      <c r="AC48" s="222"/>
      <c r="AD48" s="222"/>
      <c r="AE48" s="222"/>
      <c r="AF48" s="222"/>
      <c r="AG48" s="222"/>
      <c r="AH48" s="222"/>
      <c r="AI48" s="223"/>
      <c r="AJ48" s="151" t="s">
        <v>103</v>
      </c>
      <c r="AK48" s="153"/>
      <c r="AL48" s="221" t="s">
        <v>27</v>
      </c>
      <c r="AM48" s="222"/>
      <c r="AN48" s="222"/>
      <c r="AO48" s="222"/>
      <c r="AP48" s="222"/>
      <c r="AQ48" s="222"/>
      <c r="AR48" s="222"/>
      <c r="AS48" s="222"/>
      <c r="AT48" s="222"/>
      <c r="AU48" s="222"/>
      <c r="AV48" s="222"/>
      <c r="AW48" s="223"/>
      <c r="AX48" s="58"/>
      <c r="AY48" s="58"/>
      <c r="BA48" s="34"/>
      <c r="BB48" s="34"/>
      <c r="BC48" s="34"/>
      <c r="BD48" s="34"/>
      <c r="BE48" s="34"/>
      <c r="BF48" s="34"/>
      <c r="BG48" s="3"/>
      <c r="BH48" s="34"/>
    </row>
    <row r="49" spans="1:65" ht="11.1" customHeight="1" x14ac:dyDescent="0.2">
      <c r="C49" s="29">
        <v>3</v>
      </c>
      <c r="D49" s="59">
        <v>2</v>
      </c>
      <c r="G49" s="213"/>
      <c r="H49" s="213"/>
      <c r="I49" s="213"/>
      <c r="J49" s="213"/>
      <c r="K49" s="213"/>
      <c r="L49" s="213"/>
      <c r="M49" s="213"/>
      <c r="N49" s="213"/>
      <c r="O49" s="213"/>
      <c r="P49" s="213"/>
      <c r="Q49" s="213"/>
      <c r="R49" s="213"/>
      <c r="S49" s="213"/>
      <c r="T49" s="213"/>
      <c r="U49" s="213"/>
      <c r="V49" s="213"/>
      <c r="W49" s="213"/>
      <c r="X49" s="213"/>
      <c r="Y49" s="213"/>
      <c r="Z49" s="213"/>
      <c r="AA49" s="213"/>
      <c r="AB49" s="213"/>
      <c r="AC49" s="213"/>
      <c r="AD49" s="213"/>
      <c r="AE49" s="213"/>
      <c r="AF49" s="213"/>
      <c r="AG49" s="213"/>
      <c r="AH49" s="213"/>
      <c r="AI49" s="213"/>
      <c r="AJ49" s="213"/>
      <c r="AK49" s="213"/>
      <c r="AL49" s="213"/>
      <c r="AM49" s="213"/>
      <c r="AN49" s="213"/>
      <c r="AO49" s="213"/>
      <c r="AP49" s="213"/>
      <c r="AQ49" s="213"/>
      <c r="AR49" s="213"/>
      <c r="AS49" s="213"/>
      <c r="AT49" s="213"/>
      <c r="AU49" s="213"/>
      <c r="AV49" s="213"/>
      <c r="AW49" s="213"/>
      <c r="AX49" s="58"/>
      <c r="AY49" s="58"/>
      <c r="BA49" s="34"/>
      <c r="BB49" s="34"/>
      <c r="BC49" s="34"/>
      <c r="BD49" s="34"/>
      <c r="BE49" s="43"/>
      <c r="BF49" s="43"/>
      <c r="BG49" s="3"/>
      <c r="BH49" s="34"/>
    </row>
    <row r="50" spans="1:65" ht="11.1" customHeight="1" x14ac:dyDescent="0.2">
      <c r="C50" s="29"/>
      <c r="D50" s="59"/>
      <c r="G50" s="151" t="s">
        <v>104</v>
      </c>
      <c r="H50" s="153"/>
      <c r="I50" s="221" t="s">
        <v>28</v>
      </c>
      <c r="J50" s="222"/>
      <c r="K50" s="222"/>
      <c r="L50" s="222"/>
      <c r="M50" s="222"/>
      <c r="N50" s="222"/>
      <c r="O50" s="222"/>
      <c r="P50" s="222"/>
      <c r="Q50" s="222"/>
      <c r="R50" s="222"/>
      <c r="S50" s="222"/>
      <c r="T50" s="222"/>
      <c r="U50" s="223"/>
      <c r="V50" s="151" t="s">
        <v>105</v>
      </c>
      <c r="W50" s="153"/>
      <c r="X50" s="214" t="s">
        <v>29</v>
      </c>
      <c r="Y50" s="215"/>
      <c r="Z50" s="216"/>
      <c r="AA50" s="151" t="s">
        <v>106</v>
      </c>
      <c r="AB50" s="153"/>
      <c r="AC50" s="214" t="s">
        <v>30</v>
      </c>
      <c r="AD50" s="215"/>
      <c r="AE50" s="215"/>
      <c r="AF50" s="215"/>
      <c r="AG50" s="215"/>
      <c r="AH50" s="215"/>
      <c r="AI50" s="215"/>
      <c r="AJ50" s="215"/>
      <c r="AK50" s="215"/>
      <c r="AL50" s="215"/>
      <c r="AM50" s="215"/>
      <c r="AN50" s="215"/>
      <c r="AO50" s="215"/>
      <c r="AP50" s="215"/>
      <c r="AQ50" s="215"/>
      <c r="AR50" s="216"/>
      <c r="AS50" s="151" t="s">
        <v>107</v>
      </c>
      <c r="AT50" s="153"/>
      <c r="AU50" s="214" t="s">
        <v>22</v>
      </c>
      <c r="AV50" s="215"/>
      <c r="AW50" s="216"/>
      <c r="AX50" s="34"/>
      <c r="AY50" s="34"/>
      <c r="BA50" s="34"/>
      <c r="BB50" s="34"/>
      <c r="BC50" s="34"/>
      <c r="BD50" s="34"/>
      <c r="BE50" s="34"/>
      <c r="BF50" s="34"/>
      <c r="BG50" s="3"/>
      <c r="BH50" s="34"/>
    </row>
    <row r="51" spans="1:65" ht="11.1" customHeight="1" x14ac:dyDescent="0.2">
      <c r="C51" s="29">
        <v>4</v>
      </c>
      <c r="D51" s="59">
        <v>4</v>
      </c>
      <c r="G51" s="170"/>
      <c r="H51" s="170"/>
      <c r="I51" s="170"/>
      <c r="J51" s="170"/>
      <c r="K51" s="170"/>
      <c r="L51" s="170"/>
      <c r="M51" s="170"/>
      <c r="N51" s="170"/>
      <c r="O51" s="170"/>
      <c r="P51" s="170"/>
      <c r="Q51" s="170"/>
      <c r="R51" s="170"/>
      <c r="S51" s="170"/>
      <c r="T51" s="170"/>
      <c r="U51" s="170"/>
      <c r="V51" s="217"/>
      <c r="W51" s="217"/>
      <c r="X51" s="217"/>
      <c r="Y51" s="217"/>
      <c r="Z51" s="217"/>
      <c r="AA51" s="170"/>
      <c r="AB51" s="170"/>
      <c r="AC51" s="170"/>
      <c r="AD51" s="170"/>
      <c r="AE51" s="170"/>
      <c r="AF51" s="170"/>
      <c r="AG51" s="170"/>
      <c r="AH51" s="170"/>
      <c r="AI51" s="170"/>
      <c r="AJ51" s="170"/>
      <c r="AK51" s="170"/>
      <c r="AL51" s="170"/>
      <c r="AM51" s="170"/>
      <c r="AN51" s="170"/>
      <c r="AO51" s="170"/>
      <c r="AP51" s="170"/>
      <c r="AQ51" s="170"/>
      <c r="AR51" s="170"/>
      <c r="AS51" s="172"/>
      <c r="AT51" s="226"/>
      <c r="AU51" s="226"/>
      <c r="AV51" s="226"/>
      <c r="AW51" s="173"/>
      <c r="AX51" s="34"/>
      <c r="AY51" s="34"/>
      <c r="BA51" s="34"/>
      <c r="BB51" s="34"/>
      <c r="BC51" s="34"/>
      <c r="BD51" s="34"/>
      <c r="BE51" s="34"/>
      <c r="BF51" s="34"/>
      <c r="BG51" s="3"/>
    </row>
    <row r="52" spans="1:65" ht="11.1" customHeight="1" x14ac:dyDescent="0.2">
      <c r="C52" s="29"/>
      <c r="D52" s="59"/>
      <c r="G52" s="151" t="s">
        <v>108</v>
      </c>
      <c r="H52" s="153"/>
      <c r="I52" s="214" t="s">
        <v>114</v>
      </c>
      <c r="J52" s="215"/>
      <c r="K52" s="215"/>
      <c r="L52" s="215"/>
      <c r="M52" s="215"/>
      <c r="N52" s="215"/>
      <c r="O52" s="215"/>
      <c r="P52" s="216"/>
      <c r="Q52" s="151" t="s">
        <v>109</v>
      </c>
      <c r="R52" s="153"/>
      <c r="S52" s="214" t="s">
        <v>31</v>
      </c>
      <c r="T52" s="215"/>
      <c r="U52" s="215"/>
      <c r="V52" s="215"/>
      <c r="W52" s="215"/>
      <c r="X52" s="215"/>
      <c r="Y52" s="215"/>
      <c r="Z52" s="216"/>
      <c r="AA52" s="151" t="s">
        <v>110</v>
      </c>
      <c r="AB52" s="153"/>
      <c r="AC52" s="214" t="s">
        <v>32</v>
      </c>
      <c r="AD52" s="215"/>
      <c r="AE52" s="215"/>
      <c r="AF52" s="215"/>
      <c r="AG52" s="215"/>
      <c r="AH52" s="215"/>
      <c r="AI52" s="216"/>
      <c r="AJ52" s="151" t="s">
        <v>111</v>
      </c>
      <c r="AK52" s="153"/>
      <c r="AL52" s="214" t="s">
        <v>33</v>
      </c>
      <c r="AM52" s="215"/>
      <c r="AN52" s="215"/>
      <c r="AO52" s="215"/>
      <c r="AP52" s="215"/>
      <c r="AQ52" s="215"/>
      <c r="AR52" s="216"/>
      <c r="AS52" s="151" t="s">
        <v>112</v>
      </c>
      <c r="AT52" s="153"/>
      <c r="AU52" s="214" t="s">
        <v>22</v>
      </c>
      <c r="AV52" s="215"/>
      <c r="AW52" s="216"/>
      <c r="AX52" s="58"/>
      <c r="BA52" s="34"/>
      <c r="BB52" s="34"/>
      <c r="BC52" s="34"/>
      <c r="BD52" s="34"/>
      <c r="BE52" s="34"/>
      <c r="BF52" s="34"/>
      <c r="BG52" s="3"/>
    </row>
    <row r="53" spans="1:65" ht="11.1" customHeight="1" x14ac:dyDescent="0.2">
      <c r="C53" s="29">
        <v>5</v>
      </c>
      <c r="D53" s="59">
        <v>5</v>
      </c>
      <c r="G53" s="230"/>
      <c r="H53" s="230"/>
      <c r="I53" s="230"/>
      <c r="J53" s="230"/>
      <c r="K53" s="230"/>
      <c r="L53" s="230"/>
      <c r="M53" s="230"/>
      <c r="N53" s="230"/>
      <c r="O53" s="230"/>
      <c r="P53" s="230"/>
      <c r="Q53" s="213"/>
      <c r="R53" s="213"/>
      <c r="S53" s="213"/>
      <c r="T53" s="213"/>
      <c r="U53" s="213"/>
      <c r="V53" s="213"/>
      <c r="W53" s="213"/>
      <c r="X53" s="213"/>
      <c r="Y53" s="213"/>
      <c r="Z53" s="213"/>
      <c r="AA53" s="213"/>
      <c r="AB53" s="213"/>
      <c r="AC53" s="213"/>
      <c r="AD53" s="213"/>
      <c r="AE53" s="213"/>
      <c r="AF53" s="213"/>
      <c r="AG53" s="213"/>
      <c r="AH53" s="213"/>
      <c r="AI53" s="213"/>
      <c r="AJ53" s="213"/>
      <c r="AK53" s="213"/>
      <c r="AL53" s="213"/>
      <c r="AM53" s="213"/>
      <c r="AN53" s="213"/>
      <c r="AO53" s="213"/>
      <c r="AP53" s="213"/>
      <c r="AQ53" s="213"/>
      <c r="AR53" s="213"/>
      <c r="AS53" s="172"/>
      <c r="AT53" s="226"/>
      <c r="AU53" s="226"/>
      <c r="AV53" s="226"/>
      <c r="AW53" s="173"/>
      <c r="AX53" s="58"/>
      <c r="BA53" s="34"/>
      <c r="BB53" s="34"/>
      <c r="BC53" s="34"/>
      <c r="BD53" s="34"/>
      <c r="BE53" s="34"/>
      <c r="BF53" s="34"/>
      <c r="BG53" s="3"/>
    </row>
    <row r="54" spans="1:65" ht="11.1" customHeight="1" x14ac:dyDescent="0.2">
      <c r="C54" s="29"/>
      <c r="D54" s="59"/>
      <c r="G54" s="151" t="s">
        <v>122</v>
      </c>
      <c r="H54" s="153"/>
      <c r="I54" s="214" t="s">
        <v>123</v>
      </c>
      <c r="J54" s="215"/>
      <c r="K54" s="215"/>
      <c r="L54" s="215"/>
      <c r="M54" s="215"/>
      <c r="N54" s="215"/>
      <c r="O54" s="215"/>
      <c r="P54" s="215"/>
      <c r="Q54" s="215"/>
      <c r="R54" s="215"/>
      <c r="S54" s="215"/>
      <c r="T54" s="215"/>
      <c r="U54" s="215"/>
      <c r="V54" s="215"/>
      <c r="W54" s="215"/>
      <c r="X54" s="215"/>
      <c r="Y54" s="215"/>
      <c r="Z54" s="215"/>
      <c r="AA54" s="215"/>
      <c r="AB54" s="215"/>
      <c r="AC54" s="215"/>
      <c r="AD54" s="215"/>
      <c r="AE54" s="215"/>
      <c r="AF54" s="215"/>
      <c r="AG54" s="215"/>
      <c r="AH54" s="215"/>
      <c r="AI54" s="215"/>
      <c r="AJ54" s="215"/>
      <c r="AK54" s="215"/>
      <c r="AL54" s="215"/>
      <c r="AM54" s="215"/>
      <c r="AN54" s="215"/>
      <c r="AO54" s="215"/>
      <c r="AP54" s="215"/>
      <c r="AQ54" s="215"/>
      <c r="AR54" s="215"/>
      <c r="AS54" s="215"/>
      <c r="AT54" s="215"/>
      <c r="AU54" s="215"/>
      <c r="AV54" s="215"/>
      <c r="AW54" s="216"/>
      <c r="AX54" s="44"/>
      <c r="AY54" s="44"/>
      <c r="BA54" s="34"/>
      <c r="BB54" s="34"/>
      <c r="BC54" s="34"/>
      <c r="BD54" s="34"/>
      <c r="BE54" s="34"/>
      <c r="BF54" s="34"/>
      <c r="BG54" s="34"/>
      <c r="BH54" s="34"/>
    </row>
    <row r="55" spans="1:65" ht="11.1" customHeight="1" x14ac:dyDescent="0.2">
      <c r="A55" s="29">
        <v>0</v>
      </c>
      <c r="C55" s="29">
        <v>5</v>
      </c>
      <c r="D55" s="59">
        <v>5</v>
      </c>
      <c r="G55" s="151" t="s">
        <v>124</v>
      </c>
      <c r="H55" s="152"/>
      <c r="I55" s="153"/>
      <c r="J55" s="154" t="s">
        <v>125</v>
      </c>
      <c r="K55" s="155"/>
      <c r="L55" s="155"/>
      <c r="M55" s="155"/>
      <c r="N55" s="156"/>
      <c r="O55" s="151" t="s">
        <v>126</v>
      </c>
      <c r="P55" s="152"/>
      <c r="Q55" s="153"/>
      <c r="R55" s="154" t="s">
        <v>127</v>
      </c>
      <c r="S55" s="155"/>
      <c r="T55" s="155"/>
      <c r="U55" s="155"/>
      <c r="V55" s="156"/>
      <c r="W55" s="151" t="s">
        <v>128</v>
      </c>
      <c r="X55" s="152"/>
      <c r="Y55" s="153"/>
      <c r="Z55" s="154" t="s">
        <v>129</v>
      </c>
      <c r="AA55" s="155"/>
      <c r="AB55" s="155"/>
      <c r="AC55" s="155"/>
      <c r="AD55" s="155"/>
      <c r="AE55" s="155"/>
      <c r="AF55" s="156"/>
      <c r="AG55" s="227"/>
      <c r="AH55" s="228"/>
      <c r="AI55" s="228"/>
      <c r="AJ55" s="228"/>
      <c r="AK55" s="228"/>
      <c r="AL55" s="228"/>
      <c r="AM55" s="228"/>
      <c r="AN55" s="228"/>
      <c r="AO55" s="228"/>
      <c r="AP55" s="228"/>
      <c r="AQ55" s="228"/>
      <c r="AR55" s="228"/>
      <c r="AS55" s="228"/>
      <c r="AT55" s="228"/>
      <c r="AU55" s="228"/>
      <c r="AV55" s="228"/>
      <c r="AW55" s="229"/>
      <c r="AX55" s="44"/>
      <c r="AY55" s="44"/>
      <c r="BA55" s="34"/>
      <c r="BB55" s="34"/>
      <c r="BC55" s="34"/>
      <c r="BD55" s="34"/>
      <c r="BE55" s="34"/>
      <c r="BF55" s="34"/>
      <c r="BG55" s="34"/>
      <c r="BH55" s="105"/>
    </row>
    <row r="56" spans="1:65" ht="11.1" customHeight="1" x14ac:dyDescent="0.2">
      <c r="C56" s="29"/>
      <c r="D56" s="59"/>
      <c r="G56" s="151" t="s">
        <v>130</v>
      </c>
      <c r="H56" s="153"/>
      <c r="I56" s="214" t="s">
        <v>131</v>
      </c>
      <c r="J56" s="215"/>
      <c r="K56" s="215"/>
      <c r="L56" s="215"/>
      <c r="M56" s="215"/>
      <c r="N56" s="215"/>
      <c r="O56" s="215"/>
      <c r="P56" s="215"/>
      <c r="Q56" s="215"/>
      <c r="R56" s="215"/>
      <c r="S56" s="215"/>
      <c r="T56" s="215"/>
      <c r="U56" s="215"/>
      <c r="V56" s="215"/>
      <c r="W56" s="215"/>
      <c r="X56" s="215"/>
      <c r="Y56" s="215"/>
      <c r="Z56" s="215"/>
      <c r="AA56" s="215"/>
      <c r="AB56" s="215"/>
      <c r="AC56" s="215"/>
      <c r="AD56" s="215"/>
      <c r="AE56" s="215"/>
      <c r="AF56" s="215"/>
      <c r="AG56" s="215"/>
      <c r="AH56" s="215"/>
      <c r="AI56" s="215"/>
      <c r="AJ56" s="215"/>
      <c r="AK56" s="215"/>
      <c r="AL56" s="215"/>
      <c r="AM56" s="215"/>
      <c r="AN56" s="215"/>
      <c r="AO56" s="215"/>
      <c r="AP56" s="215"/>
      <c r="AQ56" s="215"/>
      <c r="AR56" s="215"/>
      <c r="AS56" s="215"/>
      <c r="AT56" s="215"/>
      <c r="AU56" s="215"/>
      <c r="AV56" s="215"/>
      <c r="AW56" s="216"/>
      <c r="AX56" s="44"/>
      <c r="AY56" s="44"/>
      <c r="AZ56" s="44"/>
      <c r="BC56" s="58"/>
      <c r="BD56" s="43"/>
      <c r="BE56" s="34"/>
      <c r="BF56" s="34"/>
      <c r="BG56" s="34"/>
      <c r="BH56" s="34"/>
    </row>
    <row r="57" spans="1:65" ht="11.1" customHeight="1" x14ac:dyDescent="0.2">
      <c r="A57" s="29">
        <v>0</v>
      </c>
      <c r="C57" s="29">
        <v>5</v>
      </c>
      <c r="D57" s="59">
        <v>5</v>
      </c>
      <c r="G57" s="151" t="s">
        <v>132</v>
      </c>
      <c r="H57" s="152"/>
      <c r="I57" s="153"/>
      <c r="J57" s="154" t="s">
        <v>0</v>
      </c>
      <c r="K57" s="155"/>
      <c r="L57" s="155"/>
      <c r="M57" s="155"/>
      <c r="N57" s="155"/>
      <c r="O57" s="155"/>
      <c r="P57" s="155"/>
      <c r="Q57" s="155"/>
      <c r="R57" s="155"/>
      <c r="S57" s="155"/>
      <c r="T57" s="156"/>
      <c r="U57" s="151" t="s">
        <v>133</v>
      </c>
      <c r="V57" s="152"/>
      <c r="W57" s="153"/>
      <c r="X57" s="154" t="s">
        <v>34</v>
      </c>
      <c r="Y57" s="155"/>
      <c r="Z57" s="155"/>
      <c r="AA57" s="155"/>
      <c r="AB57" s="155"/>
      <c r="AC57" s="155"/>
      <c r="AD57" s="155"/>
      <c r="AE57" s="155"/>
      <c r="AF57" s="155"/>
      <c r="AG57" s="155"/>
      <c r="AH57" s="156"/>
      <c r="AI57" s="151" t="s">
        <v>134</v>
      </c>
      <c r="AJ57" s="152"/>
      <c r="AK57" s="153"/>
      <c r="AL57" s="154" t="s">
        <v>135</v>
      </c>
      <c r="AM57" s="155"/>
      <c r="AN57" s="155"/>
      <c r="AO57" s="155"/>
      <c r="AP57" s="155"/>
      <c r="AQ57" s="155"/>
      <c r="AR57" s="155"/>
      <c r="AS57" s="155"/>
      <c r="AT57" s="155"/>
      <c r="AU57" s="155"/>
      <c r="AV57" s="155"/>
      <c r="AW57" s="156"/>
      <c r="AX57" s="44"/>
      <c r="AY57" s="44"/>
      <c r="AZ57" s="44"/>
      <c r="BB57" s="145" t="s">
        <v>154</v>
      </c>
      <c r="BC57" s="146"/>
      <c r="BD57" s="146"/>
      <c r="BE57" s="147"/>
      <c r="BG57" s="136" t="s">
        <v>161</v>
      </c>
      <c r="BH57" s="137"/>
      <c r="BI57" s="104"/>
      <c r="BJ57" s="93"/>
      <c r="BK57" s="93"/>
      <c r="BL57" s="93"/>
      <c r="BM57" s="93"/>
    </row>
    <row r="58" spans="1:65" s="3" customFormat="1" ht="3.95" customHeight="1" x14ac:dyDescent="0.2">
      <c r="A58" s="29"/>
      <c r="B58" s="29"/>
      <c r="C58" s="29"/>
      <c r="D58" s="29"/>
      <c r="E58" s="5" t="s">
        <v>41</v>
      </c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Z58" s="44"/>
      <c r="BA58" s="44"/>
      <c r="BB58" s="44"/>
      <c r="BC58" s="44"/>
      <c r="BD58" s="44"/>
      <c r="BE58" s="44"/>
      <c r="BF58" s="44"/>
      <c r="BG58" s="44"/>
      <c r="BH58" s="43"/>
      <c r="BI58" s="43"/>
      <c r="BJ58" s="93"/>
      <c r="BK58" s="93"/>
      <c r="BL58" s="93"/>
      <c r="BM58" s="93"/>
    </row>
    <row r="59" spans="1:65" ht="11.1" customHeight="1" thickBot="1" x14ac:dyDescent="0.25">
      <c r="A59" s="66"/>
      <c r="B59" s="66"/>
      <c r="C59" s="66"/>
      <c r="D59" s="22"/>
      <c r="E59" s="19"/>
      <c r="F59" s="82"/>
      <c r="G59" s="83" t="s">
        <v>159</v>
      </c>
      <c r="H59" s="82"/>
      <c r="I59" s="82"/>
      <c r="J59" s="82"/>
      <c r="K59" s="82"/>
      <c r="L59" s="82"/>
      <c r="M59" s="82"/>
      <c r="N59" s="82"/>
      <c r="O59" s="82"/>
      <c r="P59" s="82"/>
      <c r="Q59" s="82"/>
      <c r="R59" s="82"/>
      <c r="S59" s="82"/>
      <c r="T59" s="82"/>
      <c r="U59" s="82"/>
      <c r="V59" s="82"/>
      <c r="W59" s="82"/>
      <c r="X59" s="82"/>
      <c r="Y59" s="82"/>
      <c r="Z59" s="82"/>
      <c r="AA59" s="82"/>
      <c r="AB59" s="82"/>
      <c r="AC59" s="82"/>
      <c r="AD59" s="82"/>
      <c r="AE59" s="82"/>
      <c r="AF59" s="82"/>
      <c r="AG59" s="82"/>
      <c r="AH59" s="82"/>
      <c r="AI59" s="82"/>
      <c r="AJ59" s="82"/>
      <c r="AK59" s="82"/>
      <c r="AL59" s="82"/>
      <c r="AM59" s="82"/>
      <c r="AN59" s="82"/>
      <c r="AO59" s="82"/>
      <c r="AP59" s="82"/>
      <c r="AQ59" s="82"/>
      <c r="AR59" s="82"/>
      <c r="AS59" s="82"/>
      <c r="AT59" s="82"/>
      <c r="AU59" s="82"/>
      <c r="AV59" s="82"/>
      <c r="AW59" s="82"/>
      <c r="AX59" s="84"/>
      <c r="AZ59" s="44"/>
      <c r="BB59" s="85" t="s">
        <v>150</v>
      </c>
      <c r="BC59" s="85" t="s">
        <v>153</v>
      </c>
      <c r="BD59" s="85" t="s">
        <v>152</v>
      </c>
      <c r="BE59" s="85" t="s">
        <v>167</v>
      </c>
      <c r="BG59" s="85" t="s">
        <v>162</v>
      </c>
      <c r="BH59" s="87">
        <f>Y88</f>
        <v>0</v>
      </c>
      <c r="BI59" s="104" t="str">
        <f ca="1">IF(NOT(ISNA(OFFSET(BD60,MATCH(BH59,BD61:BD91,0),0))),"P","V")</f>
        <v>P</v>
      </c>
      <c r="BJ59" s="93"/>
      <c r="BK59" s="108"/>
      <c r="BL59" s="93"/>
      <c r="BM59" s="93"/>
    </row>
    <row r="60" spans="1:65" ht="3.95" customHeight="1" x14ac:dyDescent="0.2">
      <c r="C60" s="29"/>
      <c r="D60" s="59"/>
      <c r="E60" s="5" t="s">
        <v>13</v>
      </c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18"/>
      <c r="AL60" s="55"/>
      <c r="AM60" s="55"/>
      <c r="AN60" s="55"/>
      <c r="AO60" s="55"/>
      <c r="AP60" s="55"/>
      <c r="AQ60" s="55"/>
      <c r="AZ60" s="3"/>
      <c r="BA60" s="3"/>
      <c r="BB60" s="34"/>
      <c r="BC60" s="34"/>
      <c r="BD60" s="34"/>
      <c r="BE60" s="34"/>
      <c r="BF60" s="34"/>
      <c r="BG60" s="34"/>
      <c r="BH60" s="34"/>
      <c r="BI60" s="3"/>
      <c r="BJ60" s="93"/>
      <c r="BK60" s="93"/>
      <c r="BL60" s="93"/>
      <c r="BM60" s="93"/>
    </row>
    <row r="61" spans="1:65" ht="11.1" customHeight="1" x14ac:dyDescent="0.2">
      <c r="C61" s="29"/>
      <c r="D61" s="59"/>
      <c r="G61" s="138" t="s">
        <v>50</v>
      </c>
      <c r="H61" s="138"/>
      <c r="I61" s="138"/>
      <c r="J61" s="138"/>
      <c r="K61" s="138"/>
      <c r="L61" s="138"/>
      <c r="M61" s="138"/>
      <c r="N61" s="138"/>
      <c r="O61" s="138"/>
      <c r="P61" s="138"/>
      <c r="Q61" s="138"/>
      <c r="R61" s="138"/>
      <c r="S61" s="138"/>
      <c r="T61" s="138"/>
      <c r="U61" s="138"/>
      <c r="V61" s="138"/>
      <c r="W61" s="138"/>
      <c r="X61" s="138"/>
      <c r="Y61" s="138"/>
      <c r="Z61" s="138"/>
      <c r="AA61" s="138"/>
      <c r="AB61" s="20"/>
      <c r="AC61" s="138" t="s">
        <v>72</v>
      </c>
      <c r="AD61" s="138"/>
      <c r="AE61" s="138"/>
      <c r="AF61" s="138"/>
      <c r="AG61" s="138"/>
      <c r="AH61" s="138"/>
      <c r="AI61" s="138"/>
      <c r="AJ61" s="138"/>
      <c r="AK61" s="138"/>
      <c r="AL61" s="138"/>
      <c r="AM61" s="138"/>
      <c r="AN61" s="138"/>
      <c r="AO61" s="138"/>
      <c r="AP61" s="138"/>
      <c r="AQ61" s="138"/>
      <c r="AR61" s="138"/>
      <c r="AS61" s="138"/>
      <c r="AT61" s="138"/>
      <c r="AU61" s="138"/>
      <c r="AV61" s="138"/>
      <c r="AW61" s="138"/>
      <c r="BB61" s="91" t="s">
        <v>151</v>
      </c>
      <c r="BC61" s="96"/>
      <c r="BD61" s="86">
        <f>BC61</f>
        <v>0</v>
      </c>
      <c r="BE61" s="89">
        <f>AH63</f>
        <v>0</v>
      </c>
      <c r="BG61" s="85" t="s">
        <v>163</v>
      </c>
      <c r="BH61" s="95">
        <f>AS74</f>
        <v>0</v>
      </c>
      <c r="BJ61" s="93"/>
      <c r="BK61" s="93"/>
      <c r="BL61" s="93"/>
      <c r="BM61" s="93"/>
    </row>
    <row r="62" spans="1:65" ht="11.1" customHeight="1" x14ac:dyDescent="0.2">
      <c r="C62" s="29"/>
      <c r="D62" s="59"/>
      <c r="G62" s="148"/>
      <c r="H62" s="149"/>
      <c r="I62" s="149"/>
      <c r="J62" s="149"/>
      <c r="K62" s="149"/>
      <c r="L62" s="149"/>
      <c r="M62" s="149"/>
      <c r="N62" s="149"/>
      <c r="O62" s="149"/>
      <c r="P62" s="149"/>
      <c r="Q62" s="149"/>
      <c r="R62" s="149"/>
      <c r="S62" s="149"/>
      <c r="T62" s="149"/>
      <c r="U62" s="149"/>
      <c r="V62" s="149"/>
      <c r="W62" s="149"/>
      <c r="X62" s="149"/>
      <c r="Y62" s="149"/>
      <c r="Z62" s="149"/>
      <c r="AA62" s="150"/>
      <c r="AB62" s="20"/>
      <c r="AC62" s="148"/>
      <c r="AD62" s="149"/>
      <c r="AE62" s="149"/>
      <c r="AF62" s="149"/>
      <c r="AG62" s="149"/>
      <c r="AH62" s="149"/>
      <c r="AI62" s="149"/>
      <c r="AJ62" s="149"/>
      <c r="AK62" s="149"/>
      <c r="AL62" s="149"/>
      <c r="AM62" s="149"/>
      <c r="AN62" s="149"/>
      <c r="AO62" s="149"/>
      <c r="AP62" s="149"/>
      <c r="AQ62" s="149"/>
      <c r="AR62" s="149"/>
      <c r="AS62" s="149"/>
      <c r="AT62" s="149"/>
      <c r="AU62" s="149"/>
      <c r="AV62" s="149"/>
      <c r="AW62" s="150"/>
      <c r="BB62" s="85">
        <v>1</v>
      </c>
      <c r="BC62" s="96"/>
      <c r="BD62" s="86">
        <f>BC62+BD61</f>
        <v>0</v>
      </c>
      <c r="BE62" s="89">
        <f>IF(OR(BD62+BD61=200,BD62+BD61=0),0,DATE(YEAR(BE61),MONTH(BE61)+1,DAY(BE61)))</f>
        <v>0</v>
      </c>
      <c r="BG62" s="85" t="s">
        <v>166</v>
      </c>
      <c r="BH62" s="95">
        <f ca="1">IF(OR(BH59=0,SUM(V68:X87)=0,SUM(BC61:BC91)=0,BH61=0),0,IF(BH59=100,OFFSET(BB60,MATCH(100,BD61:BD91,0),0),IF(AND(OR(BC61="",BC61=0),OFFSET(BB60,MATCH(BH59,BD61:BD91,1),0)="Executado"),1,IF(COUNTIF(BD61:BD91,Y88)&gt;0,OFFSET(BB60,MATCH(BH59,BD61:BD91,0),0),OFFSET(BB60,1+MATCH(BH59,BD61:BD91,1),0)))))</f>
        <v>0</v>
      </c>
      <c r="BJ62" s="93"/>
      <c r="BK62" s="93"/>
      <c r="BL62" s="93"/>
      <c r="BM62" s="93"/>
    </row>
    <row r="63" spans="1:65" ht="11.1" customHeight="1" x14ac:dyDescent="0.2">
      <c r="C63" s="29"/>
      <c r="D63" s="59"/>
      <c r="F63" s="68"/>
      <c r="G63" s="160" t="s">
        <v>49</v>
      </c>
      <c r="H63" s="160"/>
      <c r="I63" s="160"/>
      <c r="J63" s="160"/>
      <c r="K63" s="160"/>
      <c r="L63" s="160"/>
      <c r="M63" s="160"/>
      <c r="N63" s="160"/>
      <c r="O63" s="160"/>
      <c r="P63" s="160"/>
      <c r="Q63" s="160"/>
      <c r="R63" s="160"/>
      <c r="S63" s="160" t="s">
        <v>73</v>
      </c>
      <c r="T63" s="160"/>
      <c r="U63" s="160"/>
      <c r="V63" s="161" t="s">
        <v>74</v>
      </c>
      <c r="W63" s="161"/>
      <c r="X63" s="161"/>
      <c r="Y63" s="160" t="s">
        <v>75</v>
      </c>
      <c r="Z63" s="160"/>
      <c r="AA63" s="160"/>
      <c r="AB63" s="34"/>
      <c r="AC63" s="142" t="s">
        <v>76</v>
      </c>
      <c r="AD63" s="143"/>
      <c r="AE63" s="143"/>
      <c r="AF63" s="143"/>
      <c r="AG63" s="144"/>
      <c r="AH63" s="139"/>
      <c r="AI63" s="140"/>
      <c r="AJ63" s="140"/>
      <c r="AK63" s="140"/>
      <c r="AL63" s="141"/>
      <c r="AM63" s="157" t="s">
        <v>77</v>
      </c>
      <c r="AN63" s="158"/>
      <c r="AO63" s="158"/>
      <c r="AP63" s="158"/>
      <c r="AQ63" s="158"/>
      <c r="AR63" s="159"/>
      <c r="AS63" s="139"/>
      <c r="AT63" s="140"/>
      <c r="AU63" s="140"/>
      <c r="AV63" s="140"/>
      <c r="AW63" s="141"/>
      <c r="BB63" s="85">
        <v>2</v>
      </c>
      <c r="BC63" s="96"/>
      <c r="BD63" s="86">
        <f t="shared" ref="BD63:BD88" si="0">BC63+BD62</f>
        <v>0</v>
      </c>
      <c r="BE63" s="89">
        <f t="shared" ref="BE63:BE91" si="1">IF(OR(BD63+BD62=200,BD63+BD62=0),0,DATE(YEAR(BE62),MONTH(BE62)+1,DAY(BE62)))</f>
        <v>0</v>
      </c>
      <c r="BG63" s="85" t="s">
        <v>164</v>
      </c>
      <c r="BH63" s="86">
        <f ca="1">IF(OR(BH59=0,SUM(V68:X87)=0,SUM(BC61:BC91)=0,BH61=0),0,IF(BH59=0,0,IF(BI59="P",OFFSET(BD61,MATCH(BH61,BB62:BB91,0),0),OFFSET(BD61,MATCH(BH61,BB62:BB91,1),0))))</f>
        <v>0</v>
      </c>
      <c r="BJ63" s="93"/>
      <c r="BK63" s="93"/>
      <c r="BL63" s="93"/>
      <c r="BM63" s="93"/>
    </row>
    <row r="64" spans="1:65" ht="11.1" customHeight="1" x14ac:dyDescent="0.2">
      <c r="C64" s="29"/>
      <c r="D64" s="59"/>
      <c r="F64" s="68"/>
      <c r="G64" s="160"/>
      <c r="H64" s="160"/>
      <c r="I64" s="160"/>
      <c r="J64" s="160"/>
      <c r="K64" s="160"/>
      <c r="L64" s="160"/>
      <c r="M64" s="160"/>
      <c r="N64" s="160"/>
      <c r="O64" s="160"/>
      <c r="P64" s="160"/>
      <c r="Q64" s="160"/>
      <c r="R64" s="160"/>
      <c r="S64" s="160"/>
      <c r="T64" s="160"/>
      <c r="U64" s="160"/>
      <c r="V64" s="161"/>
      <c r="W64" s="161"/>
      <c r="X64" s="161"/>
      <c r="Y64" s="160"/>
      <c r="Z64" s="160"/>
      <c r="AA64" s="160"/>
      <c r="AB64" s="34"/>
      <c r="AC64" s="148"/>
      <c r="AD64" s="149"/>
      <c r="AE64" s="149"/>
      <c r="AF64" s="149"/>
      <c r="AG64" s="149"/>
      <c r="AH64" s="149"/>
      <c r="AI64" s="149"/>
      <c r="AJ64" s="149"/>
      <c r="AK64" s="149"/>
      <c r="AL64" s="149"/>
      <c r="AM64" s="149"/>
      <c r="AN64" s="149"/>
      <c r="AO64" s="149"/>
      <c r="AP64" s="149"/>
      <c r="AQ64" s="149"/>
      <c r="AR64" s="149"/>
      <c r="AS64" s="149"/>
      <c r="AT64" s="149"/>
      <c r="AU64" s="149"/>
      <c r="AV64" s="149"/>
      <c r="AW64" s="150"/>
      <c r="BB64" s="85">
        <v>3</v>
      </c>
      <c r="BC64" s="96"/>
      <c r="BD64" s="86">
        <f t="shared" si="0"/>
        <v>0</v>
      </c>
      <c r="BE64" s="89">
        <f t="shared" si="1"/>
        <v>0</v>
      </c>
      <c r="BG64" s="85" t="s">
        <v>165</v>
      </c>
      <c r="BH64" s="103">
        <f ca="1">IF(OR(BH59=0,SUM(V68:X87)=0,SUM(BC61:BC91)=0,BH61=0),0,IF(OR(BH59=0,COUNTIF(BD61:BD91,Y88)&gt;0),100,IF(BI59="P",
ROUND(100*(BH59-OFFSET(BD60,MATCH(BH59,BD61:BD91,0),0))/(OFFSET(BD60,1+MATCH(BH59,BD61:BD91,0),0)-OFFSET(BD60,MATCH(BH59,BD61:BD91,0),0)),2),
ROUND(100*(BH59-OFFSET(BD60,MATCH(BH59,BD61:BD91,1),0))/(OFFSET(BD60,1+MATCH(BH59,BD61:BD91,1),0)-OFFSET(BD60,MATCH(BH59,BD61:BD91,1),0)),2))))</f>
        <v>0</v>
      </c>
      <c r="BJ64" s="93"/>
      <c r="BK64" s="93"/>
      <c r="BL64" s="93"/>
      <c r="BM64" s="93"/>
    </row>
    <row r="65" spans="3:66" ht="11.1" customHeight="1" x14ac:dyDescent="0.2">
      <c r="C65" s="29"/>
      <c r="D65" s="59"/>
      <c r="F65" s="68"/>
      <c r="G65" s="160"/>
      <c r="H65" s="160"/>
      <c r="I65" s="160"/>
      <c r="J65" s="160"/>
      <c r="K65" s="160"/>
      <c r="L65" s="160"/>
      <c r="M65" s="160"/>
      <c r="N65" s="160"/>
      <c r="O65" s="160"/>
      <c r="P65" s="160"/>
      <c r="Q65" s="160"/>
      <c r="R65" s="160"/>
      <c r="S65" s="160"/>
      <c r="T65" s="160"/>
      <c r="U65" s="160"/>
      <c r="V65" s="161"/>
      <c r="W65" s="161"/>
      <c r="X65" s="161"/>
      <c r="Y65" s="160"/>
      <c r="Z65" s="160"/>
      <c r="AA65" s="160"/>
      <c r="AB65" s="34"/>
      <c r="AC65" s="142" t="s">
        <v>78</v>
      </c>
      <c r="AD65" s="143"/>
      <c r="AE65" s="143"/>
      <c r="AF65" s="143"/>
      <c r="AG65" s="143"/>
      <c r="AH65" s="143"/>
      <c r="AI65" s="143"/>
      <c r="AJ65" s="144"/>
      <c r="AK65" s="139"/>
      <c r="AL65" s="140"/>
      <c r="AM65" s="140"/>
      <c r="AN65" s="140"/>
      <c r="AO65" s="141"/>
      <c r="AP65" s="238"/>
      <c r="AQ65" s="239"/>
      <c r="AR65" s="239"/>
      <c r="AS65" s="239"/>
      <c r="AT65" s="239"/>
      <c r="AU65" s="239"/>
      <c r="AV65" s="239"/>
      <c r="AW65" s="240"/>
      <c r="BB65" s="85">
        <v>4</v>
      </c>
      <c r="BC65" s="96"/>
      <c r="BD65" s="86">
        <f t="shared" si="0"/>
        <v>0</v>
      </c>
      <c r="BE65" s="89">
        <f t="shared" si="1"/>
        <v>0</v>
      </c>
      <c r="BH65" s="93"/>
      <c r="BJ65" s="93"/>
      <c r="BK65" s="93"/>
      <c r="BL65" s="93"/>
      <c r="BM65" s="93"/>
    </row>
    <row r="66" spans="3:66" ht="11.1" customHeight="1" x14ac:dyDescent="0.2">
      <c r="C66" s="29"/>
      <c r="D66" s="59"/>
      <c r="G66" s="160"/>
      <c r="H66" s="160"/>
      <c r="I66" s="160"/>
      <c r="J66" s="160"/>
      <c r="K66" s="160"/>
      <c r="L66" s="160"/>
      <c r="M66" s="160"/>
      <c r="N66" s="160"/>
      <c r="O66" s="160"/>
      <c r="P66" s="160"/>
      <c r="Q66" s="160"/>
      <c r="R66" s="160"/>
      <c r="S66" s="160"/>
      <c r="T66" s="160"/>
      <c r="U66" s="160"/>
      <c r="V66" s="161"/>
      <c r="W66" s="161"/>
      <c r="X66" s="161"/>
      <c r="Y66" s="160"/>
      <c r="Z66" s="160"/>
      <c r="AA66" s="160"/>
      <c r="AB66" s="20"/>
      <c r="AC66" s="148"/>
      <c r="AD66" s="149"/>
      <c r="AE66" s="149"/>
      <c r="AF66" s="149"/>
      <c r="AG66" s="149"/>
      <c r="AH66" s="149"/>
      <c r="AI66" s="149"/>
      <c r="AJ66" s="149"/>
      <c r="AK66" s="149"/>
      <c r="AL66" s="149"/>
      <c r="AM66" s="149"/>
      <c r="AN66" s="149"/>
      <c r="AO66" s="149"/>
      <c r="AP66" s="149"/>
      <c r="AQ66" s="149"/>
      <c r="AR66" s="149"/>
      <c r="AS66" s="149"/>
      <c r="AT66" s="149"/>
      <c r="AU66" s="149"/>
      <c r="AV66" s="149"/>
      <c r="AW66" s="150"/>
      <c r="BB66" s="85">
        <v>5</v>
      </c>
      <c r="BC66" s="96"/>
      <c r="BD66" s="86">
        <f t="shared" si="0"/>
        <v>0</v>
      </c>
      <c r="BE66" s="89">
        <f t="shared" si="1"/>
        <v>0</v>
      </c>
    </row>
    <row r="67" spans="3:66" ht="11.1" customHeight="1" x14ac:dyDescent="0.2">
      <c r="C67" s="29"/>
      <c r="D67" s="59"/>
      <c r="F67" s="69"/>
      <c r="G67" s="160"/>
      <c r="H67" s="160"/>
      <c r="I67" s="160"/>
      <c r="J67" s="160"/>
      <c r="K67" s="160"/>
      <c r="L67" s="160"/>
      <c r="M67" s="160"/>
      <c r="N67" s="160"/>
      <c r="O67" s="160"/>
      <c r="P67" s="160"/>
      <c r="Q67" s="160"/>
      <c r="R67" s="160"/>
      <c r="S67" s="160" t="s">
        <v>59</v>
      </c>
      <c r="T67" s="160"/>
      <c r="U67" s="160"/>
      <c r="V67" s="160" t="s">
        <v>59</v>
      </c>
      <c r="W67" s="160"/>
      <c r="X67" s="160"/>
      <c r="Y67" s="160" t="s">
        <v>59</v>
      </c>
      <c r="Z67" s="160"/>
      <c r="AA67" s="160"/>
      <c r="AB67" s="34"/>
      <c r="AC67" s="235" t="s">
        <v>79</v>
      </c>
      <c r="AD67" s="236"/>
      <c r="AE67" s="236"/>
      <c r="AF67" s="236"/>
      <c r="AG67" s="236"/>
      <c r="AH67" s="236"/>
      <c r="AI67" s="236"/>
      <c r="AJ67" s="236"/>
      <c r="AK67" s="236"/>
      <c r="AL67" s="236"/>
      <c r="AM67" s="236"/>
      <c r="AN67" s="236"/>
      <c r="AO67" s="236"/>
      <c r="AP67" s="236"/>
      <c r="AQ67" s="236"/>
      <c r="AR67" s="237"/>
      <c r="AS67" s="257"/>
      <c r="AT67" s="258"/>
      <c r="AU67" s="258"/>
      <c r="AV67" s="258"/>
      <c r="AW67" s="259"/>
      <c r="AX67" s="34"/>
      <c r="AY67" s="34"/>
      <c r="AZ67" s="43"/>
      <c r="BB67" s="85">
        <v>6</v>
      </c>
      <c r="BC67" s="96"/>
      <c r="BD67" s="86">
        <f t="shared" si="0"/>
        <v>0</v>
      </c>
      <c r="BE67" s="89">
        <f t="shared" si="1"/>
        <v>0</v>
      </c>
      <c r="BN67" s="102"/>
    </row>
    <row r="68" spans="3:66" ht="11.1" customHeight="1" x14ac:dyDescent="0.2">
      <c r="C68" s="29"/>
      <c r="D68" s="59"/>
      <c r="F68" s="69"/>
      <c r="G68" s="242" t="s">
        <v>172</v>
      </c>
      <c r="H68" s="242"/>
      <c r="I68" s="241" t="s">
        <v>60</v>
      </c>
      <c r="J68" s="241"/>
      <c r="K68" s="241"/>
      <c r="L68" s="241"/>
      <c r="M68" s="241"/>
      <c r="N68" s="241"/>
      <c r="O68" s="241"/>
      <c r="P68" s="241"/>
      <c r="Q68" s="241"/>
      <c r="R68" s="241"/>
      <c r="S68" s="243"/>
      <c r="T68" s="243"/>
      <c r="U68" s="243"/>
      <c r="V68" s="253"/>
      <c r="W68" s="253"/>
      <c r="X68" s="253"/>
      <c r="Y68" s="244">
        <f>IF(S68=0,0,V68*S68/100)</f>
        <v>0</v>
      </c>
      <c r="Z68" s="244"/>
      <c r="AA68" s="244"/>
      <c r="AB68" s="34"/>
      <c r="AC68" s="254" t="s">
        <v>92</v>
      </c>
      <c r="AD68" s="255"/>
      <c r="AE68" s="255"/>
      <c r="AF68" s="255"/>
      <c r="AG68" s="255"/>
      <c r="AH68" s="255"/>
      <c r="AI68" s="255"/>
      <c r="AJ68" s="255"/>
      <c r="AK68" s="255"/>
      <c r="AL68" s="255"/>
      <c r="AM68" s="255"/>
      <c r="AN68" s="255"/>
      <c r="AO68" s="255"/>
      <c r="AP68" s="255"/>
      <c r="AQ68" s="255"/>
      <c r="AR68" s="256"/>
      <c r="AS68" s="257"/>
      <c r="AT68" s="258"/>
      <c r="AU68" s="258"/>
      <c r="AV68" s="258"/>
      <c r="AW68" s="259"/>
      <c r="AX68" s="34"/>
      <c r="AZ68" s="43"/>
      <c r="BB68" s="85">
        <v>7</v>
      </c>
      <c r="BC68" s="96"/>
      <c r="BD68" s="86">
        <f t="shared" si="0"/>
        <v>0</v>
      </c>
      <c r="BE68" s="89">
        <f t="shared" si="1"/>
        <v>0</v>
      </c>
      <c r="BH68" s="97"/>
      <c r="BI68" s="97"/>
    </row>
    <row r="69" spans="3:66" ht="11.1" customHeight="1" x14ac:dyDescent="0.2">
      <c r="C69" s="29"/>
      <c r="D69" s="59"/>
      <c r="F69" s="69"/>
      <c r="G69" s="242" t="s">
        <v>173</v>
      </c>
      <c r="H69" s="242"/>
      <c r="I69" s="241" t="s">
        <v>61</v>
      </c>
      <c r="J69" s="241"/>
      <c r="K69" s="241"/>
      <c r="L69" s="241"/>
      <c r="M69" s="241"/>
      <c r="N69" s="241"/>
      <c r="O69" s="241"/>
      <c r="P69" s="241"/>
      <c r="Q69" s="241"/>
      <c r="R69" s="241"/>
      <c r="S69" s="243"/>
      <c r="T69" s="243"/>
      <c r="U69" s="243"/>
      <c r="V69" s="253"/>
      <c r="W69" s="253"/>
      <c r="X69" s="253"/>
      <c r="Y69" s="244">
        <f t="shared" ref="Y69:Y87" si="2">IF(S69=0,0,V69*S69/100)</f>
        <v>0</v>
      </c>
      <c r="Z69" s="244"/>
      <c r="AA69" s="244"/>
      <c r="AB69" s="34"/>
      <c r="AC69" s="254" t="s">
        <v>80</v>
      </c>
      <c r="AD69" s="255"/>
      <c r="AE69" s="255"/>
      <c r="AF69" s="255"/>
      <c r="AG69" s="255"/>
      <c r="AH69" s="255"/>
      <c r="AI69" s="255"/>
      <c r="AJ69" s="255"/>
      <c r="AK69" s="255"/>
      <c r="AL69" s="255"/>
      <c r="AM69" s="255"/>
      <c r="AN69" s="255"/>
      <c r="AO69" s="255"/>
      <c r="AP69" s="255"/>
      <c r="AQ69" s="255"/>
      <c r="AR69" s="256"/>
      <c r="AS69" s="257"/>
      <c r="AT69" s="258"/>
      <c r="AU69" s="258"/>
      <c r="AV69" s="258"/>
      <c r="AW69" s="259"/>
      <c r="AX69" s="34"/>
      <c r="AZ69" s="43"/>
      <c r="BB69" s="85">
        <v>8</v>
      </c>
      <c r="BC69" s="96"/>
      <c r="BD69" s="86">
        <f t="shared" si="0"/>
        <v>0</v>
      </c>
      <c r="BE69" s="89">
        <f t="shared" si="1"/>
        <v>0</v>
      </c>
      <c r="BG69" s="107"/>
    </row>
    <row r="70" spans="3:66" ht="11.1" customHeight="1" x14ac:dyDescent="0.2">
      <c r="C70" s="29"/>
      <c r="D70" s="59"/>
      <c r="F70" s="69"/>
      <c r="G70" s="242" t="s">
        <v>174</v>
      </c>
      <c r="H70" s="242"/>
      <c r="I70" s="241" t="s">
        <v>63</v>
      </c>
      <c r="J70" s="241"/>
      <c r="K70" s="241"/>
      <c r="L70" s="241"/>
      <c r="M70" s="241"/>
      <c r="N70" s="241"/>
      <c r="O70" s="241"/>
      <c r="P70" s="241"/>
      <c r="Q70" s="241"/>
      <c r="R70" s="241"/>
      <c r="S70" s="243"/>
      <c r="T70" s="243"/>
      <c r="U70" s="243"/>
      <c r="V70" s="253"/>
      <c r="W70" s="253"/>
      <c r="X70" s="253"/>
      <c r="Y70" s="244">
        <f t="shared" si="2"/>
        <v>0</v>
      </c>
      <c r="Z70" s="244"/>
      <c r="AA70" s="244"/>
      <c r="AB70" s="34"/>
      <c r="AC70" s="254" t="s">
        <v>81</v>
      </c>
      <c r="AD70" s="255"/>
      <c r="AE70" s="255"/>
      <c r="AF70" s="255"/>
      <c r="AG70" s="255"/>
      <c r="AH70" s="255"/>
      <c r="AI70" s="255"/>
      <c r="AJ70" s="255"/>
      <c r="AK70" s="255"/>
      <c r="AL70" s="255"/>
      <c r="AM70" s="255"/>
      <c r="AN70" s="255"/>
      <c r="AO70" s="255"/>
      <c r="AP70" s="255"/>
      <c r="AQ70" s="255"/>
      <c r="AR70" s="256"/>
      <c r="AS70" s="257"/>
      <c r="AT70" s="258"/>
      <c r="AU70" s="258"/>
      <c r="AV70" s="258"/>
      <c r="AW70" s="259"/>
      <c r="AX70" s="34"/>
      <c r="AZ70" s="43"/>
      <c r="BB70" s="85">
        <v>9</v>
      </c>
      <c r="BC70" s="96"/>
      <c r="BD70" s="86">
        <f t="shared" si="0"/>
        <v>0</v>
      </c>
      <c r="BE70" s="89">
        <f t="shared" si="1"/>
        <v>0</v>
      </c>
      <c r="BH70" s="88"/>
    </row>
    <row r="71" spans="3:66" ht="11.1" customHeight="1" x14ac:dyDescent="0.2">
      <c r="C71" s="29"/>
      <c r="D71" s="59"/>
      <c r="F71" s="69"/>
      <c r="G71" s="242" t="s">
        <v>175</v>
      </c>
      <c r="H71" s="242"/>
      <c r="I71" s="241" t="s">
        <v>65</v>
      </c>
      <c r="J71" s="241"/>
      <c r="K71" s="241"/>
      <c r="L71" s="241"/>
      <c r="M71" s="241"/>
      <c r="N71" s="241"/>
      <c r="O71" s="241"/>
      <c r="P71" s="241"/>
      <c r="Q71" s="241"/>
      <c r="R71" s="241"/>
      <c r="S71" s="243"/>
      <c r="T71" s="243"/>
      <c r="U71" s="243"/>
      <c r="V71" s="253"/>
      <c r="W71" s="253"/>
      <c r="X71" s="253"/>
      <c r="Y71" s="244">
        <f t="shared" si="2"/>
        <v>0</v>
      </c>
      <c r="Z71" s="244"/>
      <c r="AA71" s="244"/>
      <c r="AB71" s="34"/>
      <c r="AC71" s="254" t="s">
        <v>82</v>
      </c>
      <c r="AD71" s="255"/>
      <c r="AE71" s="255"/>
      <c r="AF71" s="255"/>
      <c r="AG71" s="255"/>
      <c r="AH71" s="255"/>
      <c r="AI71" s="255"/>
      <c r="AJ71" s="255"/>
      <c r="AK71" s="255"/>
      <c r="AL71" s="255"/>
      <c r="AM71" s="255"/>
      <c r="AN71" s="255"/>
      <c r="AO71" s="255"/>
      <c r="AP71" s="255"/>
      <c r="AQ71" s="255"/>
      <c r="AR71" s="256"/>
      <c r="AS71" s="257"/>
      <c r="AT71" s="258"/>
      <c r="AU71" s="258"/>
      <c r="AV71" s="258"/>
      <c r="AW71" s="259"/>
      <c r="AX71" s="34"/>
      <c r="AZ71" s="43"/>
      <c r="BB71" s="85">
        <v>10</v>
      </c>
      <c r="BC71" s="96"/>
      <c r="BD71" s="86">
        <f t="shared" si="0"/>
        <v>0</v>
      </c>
      <c r="BE71" s="89">
        <f t="shared" si="1"/>
        <v>0</v>
      </c>
    </row>
    <row r="72" spans="3:66" ht="11.1" customHeight="1" x14ac:dyDescent="0.2">
      <c r="C72" s="29"/>
      <c r="D72" s="59"/>
      <c r="F72" s="69"/>
      <c r="G72" s="242" t="s">
        <v>176</v>
      </c>
      <c r="H72" s="242"/>
      <c r="I72" s="241" t="s">
        <v>51</v>
      </c>
      <c r="J72" s="241"/>
      <c r="K72" s="241"/>
      <c r="L72" s="241"/>
      <c r="M72" s="241"/>
      <c r="N72" s="241"/>
      <c r="O72" s="241"/>
      <c r="P72" s="241"/>
      <c r="Q72" s="241"/>
      <c r="R72" s="241"/>
      <c r="S72" s="243"/>
      <c r="T72" s="243"/>
      <c r="U72" s="243"/>
      <c r="V72" s="253"/>
      <c r="W72" s="253"/>
      <c r="X72" s="253"/>
      <c r="Y72" s="244">
        <f t="shared" si="2"/>
        <v>0</v>
      </c>
      <c r="Z72" s="244"/>
      <c r="AA72" s="244"/>
      <c r="AB72" s="34"/>
      <c r="AC72" s="266" t="s">
        <v>83</v>
      </c>
      <c r="AD72" s="266"/>
      <c r="AE72" s="266"/>
      <c r="AF72" s="266"/>
      <c r="AG72" s="266"/>
      <c r="AH72" s="266"/>
      <c r="AI72" s="266"/>
      <c r="AJ72" s="266"/>
      <c r="AK72" s="266"/>
      <c r="AL72" s="266"/>
      <c r="AM72" s="266"/>
      <c r="AN72" s="266"/>
      <c r="AO72" s="266"/>
      <c r="AP72" s="266"/>
      <c r="AQ72" s="266"/>
      <c r="AR72" s="266"/>
      <c r="AS72" s="257"/>
      <c r="AT72" s="258"/>
      <c r="AU72" s="258"/>
      <c r="AV72" s="258"/>
      <c r="AW72" s="259"/>
      <c r="AX72" s="34"/>
      <c r="AZ72" s="43"/>
      <c r="BB72" s="85">
        <v>11</v>
      </c>
      <c r="BC72" s="96"/>
      <c r="BD72" s="86">
        <f t="shared" si="0"/>
        <v>0</v>
      </c>
      <c r="BE72" s="89">
        <f t="shared" si="1"/>
        <v>0</v>
      </c>
      <c r="BG72" s="88"/>
      <c r="BH72" s="88"/>
    </row>
    <row r="73" spans="3:66" ht="11.1" customHeight="1" x14ac:dyDescent="0.2">
      <c r="C73" s="29"/>
      <c r="D73" s="59"/>
      <c r="F73" s="68"/>
      <c r="G73" s="242" t="s">
        <v>177</v>
      </c>
      <c r="H73" s="242"/>
      <c r="I73" s="241" t="s">
        <v>66</v>
      </c>
      <c r="J73" s="241"/>
      <c r="K73" s="241"/>
      <c r="L73" s="241"/>
      <c r="M73" s="241"/>
      <c r="N73" s="241"/>
      <c r="O73" s="241"/>
      <c r="P73" s="241"/>
      <c r="Q73" s="241"/>
      <c r="R73" s="241"/>
      <c r="S73" s="243"/>
      <c r="T73" s="243"/>
      <c r="U73" s="243"/>
      <c r="V73" s="253"/>
      <c r="W73" s="253"/>
      <c r="X73" s="253"/>
      <c r="Y73" s="244">
        <f t="shared" si="2"/>
        <v>0</v>
      </c>
      <c r="Z73" s="244"/>
      <c r="AA73" s="244"/>
      <c r="AB73" s="34"/>
      <c r="AC73" s="266"/>
      <c r="AD73" s="266"/>
      <c r="AE73" s="266"/>
      <c r="AF73" s="266"/>
      <c r="AG73" s="266"/>
      <c r="AH73" s="266"/>
      <c r="AI73" s="266"/>
      <c r="AJ73" s="266"/>
      <c r="AK73" s="266"/>
      <c r="AL73" s="266"/>
      <c r="AM73" s="266"/>
      <c r="AN73" s="266"/>
      <c r="AO73" s="266"/>
      <c r="AP73" s="266"/>
      <c r="AQ73" s="266"/>
      <c r="AR73" s="266"/>
      <c r="AS73" s="257"/>
      <c r="AT73" s="258"/>
      <c r="AU73" s="258"/>
      <c r="AV73" s="258"/>
      <c r="AW73" s="259"/>
      <c r="AX73" s="34"/>
      <c r="AZ73" s="43"/>
      <c r="BB73" s="85">
        <v>12</v>
      </c>
      <c r="BC73" s="96"/>
      <c r="BD73" s="86">
        <f t="shared" si="0"/>
        <v>0</v>
      </c>
      <c r="BE73" s="89">
        <f t="shared" si="1"/>
        <v>0</v>
      </c>
      <c r="BG73" s="92"/>
      <c r="BH73" s="106"/>
    </row>
    <row r="74" spans="3:66" ht="11.1" customHeight="1" x14ac:dyDescent="0.2">
      <c r="C74" s="29"/>
      <c r="D74" s="59"/>
      <c r="F74" s="68"/>
      <c r="G74" s="242" t="s">
        <v>178</v>
      </c>
      <c r="H74" s="242"/>
      <c r="I74" s="241" t="s">
        <v>52</v>
      </c>
      <c r="J74" s="241"/>
      <c r="K74" s="241"/>
      <c r="L74" s="241"/>
      <c r="M74" s="241"/>
      <c r="N74" s="241"/>
      <c r="O74" s="241"/>
      <c r="P74" s="241"/>
      <c r="Q74" s="241"/>
      <c r="R74" s="241"/>
      <c r="S74" s="243"/>
      <c r="T74" s="243"/>
      <c r="U74" s="243"/>
      <c r="V74" s="253"/>
      <c r="W74" s="253"/>
      <c r="X74" s="253"/>
      <c r="Y74" s="244">
        <f t="shared" si="2"/>
        <v>0</v>
      </c>
      <c r="Z74" s="244"/>
      <c r="AA74" s="244"/>
      <c r="AB74" s="34"/>
      <c r="AC74" s="235" t="s">
        <v>148</v>
      </c>
      <c r="AD74" s="246"/>
      <c r="AE74" s="246"/>
      <c r="AF74" s="246"/>
      <c r="AG74" s="246"/>
      <c r="AH74" s="246"/>
      <c r="AI74" s="246"/>
      <c r="AJ74" s="246"/>
      <c r="AK74" s="246"/>
      <c r="AL74" s="246"/>
      <c r="AM74" s="246"/>
      <c r="AN74" s="246"/>
      <c r="AO74" s="246"/>
      <c r="AP74" s="246"/>
      <c r="AQ74" s="246"/>
      <c r="AR74" s="246"/>
      <c r="AS74" s="292"/>
      <c r="AT74" s="293"/>
      <c r="AU74" s="293"/>
      <c r="AV74" s="293"/>
      <c r="AW74" s="294"/>
      <c r="AX74" s="34"/>
      <c r="BB74" s="85">
        <v>13</v>
      </c>
      <c r="BC74" s="96"/>
      <c r="BD74" s="86">
        <f t="shared" si="0"/>
        <v>0</v>
      </c>
      <c r="BE74" s="89">
        <f t="shared" si="1"/>
        <v>0</v>
      </c>
    </row>
    <row r="75" spans="3:66" ht="11.1" customHeight="1" x14ac:dyDescent="0.2">
      <c r="C75" s="29"/>
      <c r="D75" s="59"/>
      <c r="F75" s="69"/>
      <c r="G75" s="242" t="s">
        <v>179</v>
      </c>
      <c r="H75" s="242"/>
      <c r="I75" s="241" t="s">
        <v>53</v>
      </c>
      <c r="J75" s="241"/>
      <c r="K75" s="241"/>
      <c r="L75" s="241"/>
      <c r="M75" s="241"/>
      <c r="N75" s="241"/>
      <c r="O75" s="241"/>
      <c r="P75" s="241"/>
      <c r="Q75" s="241"/>
      <c r="R75" s="241"/>
      <c r="S75" s="243"/>
      <c r="T75" s="243"/>
      <c r="U75" s="243"/>
      <c r="V75" s="253"/>
      <c r="W75" s="253"/>
      <c r="X75" s="253"/>
      <c r="Y75" s="244">
        <f t="shared" si="2"/>
        <v>0</v>
      </c>
      <c r="Z75" s="244"/>
      <c r="AA75" s="244"/>
      <c r="AB75" s="34"/>
      <c r="AC75" s="235" t="s">
        <v>149</v>
      </c>
      <c r="AD75" s="246"/>
      <c r="AE75" s="246"/>
      <c r="AF75" s="246"/>
      <c r="AG75" s="246"/>
      <c r="AH75" s="246"/>
      <c r="AI75" s="246"/>
      <c r="AJ75" s="246"/>
      <c r="AK75" s="246"/>
      <c r="AL75" s="246"/>
      <c r="AM75" s="246"/>
      <c r="AN75" s="246"/>
      <c r="AO75" s="246"/>
      <c r="AP75" s="246"/>
      <c r="AQ75" s="247">
        <f>IF(OR(BH59=0,SUM(V68:X87)=0,SUM(BC61:BC91)=0),0,CONCATENATE(TEXT(BH64,"0,00"),"% da ",BH62,"ª Etapa"))</f>
        <v>0</v>
      </c>
      <c r="AR75" s="248"/>
      <c r="AS75" s="248"/>
      <c r="AT75" s="248"/>
      <c r="AU75" s="248"/>
      <c r="AV75" s="248"/>
      <c r="AW75" s="249"/>
      <c r="AX75" s="34"/>
      <c r="BB75" s="85">
        <v>14</v>
      </c>
      <c r="BC75" s="96"/>
      <c r="BD75" s="86">
        <f t="shared" si="0"/>
        <v>0</v>
      </c>
      <c r="BE75" s="89">
        <f t="shared" si="1"/>
        <v>0</v>
      </c>
    </row>
    <row r="76" spans="3:66" ht="11.1" customHeight="1" x14ac:dyDescent="0.2">
      <c r="C76" s="29"/>
      <c r="D76" s="59"/>
      <c r="F76" s="69"/>
      <c r="G76" s="242" t="s">
        <v>180</v>
      </c>
      <c r="H76" s="242"/>
      <c r="I76" s="241" t="s">
        <v>62</v>
      </c>
      <c r="J76" s="241"/>
      <c r="K76" s="241"/>
      <c r="L76" s="241"/>
      <c r="M76" s="241"/>
      <c r="N76" s="241"/>
      <c r="O76" s="241"/>
      <c r="P76" s="241"/>
      <c r="Q76" s="241"/>
      <c r="R76" s="241"/>
      <c r="S76" s="243"/>
      <c r="T76" s="243"/>
      <c r="U76" s="243"/>
      <c r="V76" s="253"/>
      <c r="W76" s="253"/>
      <c r="X76" s="253"/>
      <c r="Y76" s="244">
        <f t="shared" si="2"/>
        <v>0</v>
      </c>
      <c r="Z76" s="244"/>
      <c r="AA76" s="244"/>
      <c r="AB76" s="34"/>
      <c r="AC76" s="305" t="s">
        <v>98</v>
      </c>
      <c r="AD76" s="306"/>
      <c r="AE76" s="306"/>
      <c r="AF76" s="306"/>
      <c r="AG76" s="306"/>
      <c r="AH76" s="306"/>
      <c r="AI76" s="306"/>
      <c r="AJ76" s="306"/>
      <c r="AK76" s="306"/>
      <c r="AL76" s="306"/>
      <c r="AM76" s="306"/>
      <c r="AN76" s="306"/>
      <c r="AO76" s="306"/>
      <c r="AP76" s="306"/>
      <c r="AQ76" s="306"/>
      <c r="AR76" s="306"/>
      <c r="AS76" s="307"/>
      <c r="AT76" s="307"/>
      <c r="AU76" s="307"/>
      <c r="AV76" s="307"/>
      <c r="AW76" s="308"/>
      <c r="AX76" s="34"/>
      <c r="BB76" s="85">
        <v>15</v>
      </c>
      <c r="BC76" s="96"/>
      <c r="BD76" s="86">
        <f t="shared" si="0"/>
        <v>0</v>
      </c>
      <c r="BE76" s="89">
        <f t="shared" si="1"/>
        <v>0</v>
      </c>
    </row>
    <row r="77" spans="3:66" ht="11.1" customHeight="1" x14ac:dyDescent="0.2">
      <c r="C77" s="29"/>
      <c r="D77" s="59"/>
      <c r="F77" s="69"/>
      <c r="G77" s="242" t="s">
        <v>181</v>
      </c>
      <c r="H77" s="242"/>
      <c r="I77" s="241" t="s">
        <v>54</v>
      </c>
      <c r="J77" s="241"/>
      <c r="K77" s="241"/>
      <c r="L77" s="241"/>
      <c r="M77" s="241"/>
      <c r="N77" s="241"/>
      <c r="O77" s="241"/>
      <c r="P77" s="241"/>
      <c r="Q77" s="241"/>
      <c r="R77" s="241"/>
      <c r="S77" s="243"/>
      <c r="T77" s="243"/>
      <c r="U77" s="243"/>
      <c r="V77" s="253"/>
      <c r="W77" s="253"/>
      <c r="X77" s="253"/>
      <c r="Y77" s="244">
        <f t="shared" si="2"/>
        <v>0</v>
      </c>
      <c r="Z77" s="244"/>
      <c r="AA77" s="244"/>
      <c r="AB77" s="34"/>
      <c r="AC77" s="296" t="s">
        <v>201</v>
      </c>
      <c r="AD77" s="297"/>
      <c r="AE77" s="297"/>
      <c r="AF77" s="297"/>
      <c r="AG77" s="297"/>
      <c r="AH77" s="297"/>
      <c r="AI77" s="297"/>
      <c r="AJ77" s="297"/>
      <c r="AK77" s="297"/>
      <c r="AL77" s="297"/>
      <c r="AM77" s="297"/>
      <c r="AN77" s="297"/>
      <c r="AO77" s="297"/>
      <c r="AP77" s="297"/>
      <c r="AQ77" s="297"/>
      <c r="AR77" s="297"/>
      <c r="AS77" s="297"/>
      <c r="AT77" s="297"/>
      <c r="AU77" s="297"/>
      <c r="AV77" s="297"/>
      <c r="AW77" s="298"/>
      <c r="AX77" s="34"/>
      <c r="BB77" s="85">
        <v>16</v>
      </c>
      <c r="BC77" s="96"/>
      <c r="BD77" s="86">
        <f t="shared" si="0"/>
        <v>0</v>
      </c>
      <c r="BE77" s="89">
        <f t="shared" si="1"/>
        <v>0</v>
      </c>
    </row>
    <row r="78" spans="3:66" ht="11.1" customHeight="1" x14ac:dyDescent="0.2">
      <c r="C78" s="29"/>
      <c r="D78" s="59"/>
      <c r="F78" s="69"/>
      <c r="G78" s="242" t="s">
        <v>182</v>
      </c>
      <c r="H78" s="242"/>
      <c r="I78" s="241" t="s">
        <v>64</v>
      </c>
      <c r="J78" s="241"/>
      <c r="K78" s="241"/>
      <c r="L78" s="241"/>
      <c r="M78" s="241"/>
      <c r="N78" s="241"/>
      <c r="O78" s="241"/>
      <c r="P78" s="241"/>
      <c r="Q78" s="241"/>
      <c r="R78" s="241"/>
      <c r="S78" s="243"/>
      <c r="T78" s="243"/>
      <c r="U78" s="243"/>
      <c r="V78" s="253"/>
      <c r="W78" s="253"/>
      <c r="X78" s="253"/>
      <c r="Y78" s="244">
        <f t="shared" si="2"/>
        <v>0</v>
      </c>
      <c r="Z78" s="244"/>
      <c r="AA78" s="244"/>
      <c r="AB78" s="34"/>
      <c r="AC78" s="299"/>
      <c r="AD78" s="300"/>
      <c r="AE78" s="300"/>
      <c r="AF78" s="300"/>
      <c r="AG78" s="300"/>
      <c r="AH78" s="300"/>
      <c r="AI78" s="300"/>
      <c r="AJ78" s="300"/>
      <c r="AK78" s="300"/>
      <c r="AL78" s="300"/>
      <c r="AM78" s="300"/>
      <c r="AN78" s="300"/>
      <c r="AO78" s="300"/>
      <c r="AP78" s="300"/>
      <c r="AQ78" s="300"/>
      <c r="AR78" s="300"/>
      <c r="AS78" s="300"/>
      <c r="AT78" s="300"/>
      <c r="AU78" s="300"/>
      <c r="AV78" s="300"/>
      <c r="AW78" s="301"/>
      <c r="AX78" s="34"/>
      <c r="BB78" s="85">
        <v>17</v>
      </c>
      <c r="BC78" s="96"/>
      <c r="BD78" s="86">
        <f t="shared" si="0"/>
        <v>0</v>
      </c>
      <c r="BE78" s="89">
        <f t="shared" si="1"/>
        <v>0</v>
      </c>
    </row>
    <row r="79" spans="3:66" ht="11.1" customHeight="1" x14ac:dyDescent="0.2">
      <c r="C79" s="29"/>
      <c r="D79" s="59"/>
      <c r="F79" s="69"/>
      <c r="G79" s="242" t="s">
        <v>183</v>
      </c>
      <c r="H79" s="242"/>
      <c r="I79" s="241" t="s">
        <v>55</v>
      </c>
      <c r="J79" s="241"/>
      <c r="K79" s="241"/>
      <c r="L79" s="241"/>
      <c r="M79" s="241"/>
      <c r="N79" s="241"/>
      <c r="O79" s="241"/>
      <c r="P79" s="241"/>
      <c r="Q79" s="241"/>
      <c r="R79" s="241"/>
      <c r="S79" s="243"/>
      <c r="T79" s="243"/>
      <c r="U79" s="243"/>
      <c r="V79" s="253"/>
      <c r="W79" s="253"/>
      <c r="X79" s="253"/>
      <c r="Y79" s="244">
        <f t="shared" si="2"/>
        <v>0</v>
      </c>
      <c r="Z79" s="244"/>
      <c r="AA79" s="244"/>
      <c r="AB79" s="34"/>
      <c r="AC79" s="299"/>
      <c r="AD79" s="300"/>
      <c r="AE79" s="300"/>
      <c r="AF79" s="300"/>
      <c r="AG79" s="300"/>
      <c r="AH79" s="300"/>
      <c r="AI79" s="300"/>
      <c r="AJ79" s="300"/>
      <c r="AK79" s="300"/>
      <c r="AL79" s="300"/>
      <c r="AM79" s="300"/>
      <c r="AN79" s="300"/>
      <c r="AO79" s="300"/>
      <c r="AP79" s="300"/>
      <c r="AQ79" s="300"/>
      <c r="AR79" s="300"/>
      <c r="AS79" s="300"/>
      <c r="AT79" s="300"/>
      <c r="AU79" s="300"/>
      <c r="AV79" s="300"/>
      <c r="AW79" s="301"/>
      <c r="AX79" s="34"/>
      <c r="BB79" s="85">
        <v>18</v>
      </c>
      <c r="BC79" s="96"/>
      <c r="BD79" s="86">
        <f t="shared" si="0"/>
        <v>0</v>
      </c>
      <c r="BE79" s="89">
        <f t="shared" si="1"/>
        <v>0</v>
      </c>
    </row>
    <row r="80" spans="3:66" ht="11.1" customHeight="1" x14ac:dyDescent="0.2">
      <c r="C80" s="29"/>
      <c r="D80" s="59"/>
      <c r="F80" s="69"/>
      <c r="G80" s="242" t="s">
        <v>184</v>
      </c>
      <c r="H80" s="242"/>
      <c r="I80" s="241" t="s">
        <v>56</v>
      </c>
      <c r="J80" s="241"/>
      <c r="K80" s="241"/>
      <c r="L80" s="241"/>
      <c r="M80" s="241"/>
      <c r="N80" s="241"/>
      <c r="O80" s="241"/>
      <c r="P80" s="241"/>
      <c r="Q80" s="241"/>
      <c r="R80" s="241"/>
      <c r="S80" s="243"/>
      <c r="T80" s="243"/>
      <c r="U80" s="243"/>
      <c r="V80" s="253"/>
      <c r="W80" s="253"/>
      <c r="X80" s="253"/>
      <c r="Y80" s="244">
        <f t="shared" si="2"/>
        <v>0</v>
      </c>
      <c r="Z80" s="244"/>
      <c r="AA80" s="244"/>
      <c r="AB80" s="34"/>
      <c r="AC80" s="299"/>
      <c r="AD80" s="300"/>
      <c r="AE80" s="300"/>
      <c r="AF80" s="300"/>
      <c r="AG80" s="300"/>
      <c r="AH80" s="300"/>
      <c r="AI80" s="300"/>
      <c r="AJ80" s="300"/>
      <c r="AK80" s="300"/>
      <c r="AL80" s="300"/>
      <c r="AM80" s="300"/>
      <c r="AN80" s="300"/>
      <c r="AO80" s="300"/>
      <c r="AP80" s="300"/>
      <c r="AQ80" s="300"/>
      <c r="AR80" s="300"/>
      <c r="AS80" s="300"/>
      <c r="AT80" s="300"/>
      <c r="AU80" s="300"/>
      <c r="AV80" s="300"/>
      <c r="AW80" s="301"/>
      <c r="AX80" s="34"/>
      <c r="BB80" s="85">
        <v>19</v>
      </c>
      <c r="BC80" s="96"/>
      <c r="BD80" s="86">
        <f t="shared" si="0"/>
        <v>0</v>
      </c>
      <c r="BE80" s="89">
        <f t="shared" si="1"/>
        <v>0</v>
      </c>
    </row>
    <row r="81" spans="1:62" ht="11.1" customHeight="1" x14ac:dyDescent="0.2">
      <c r="C81" s="29"/>
      <c r="D81" s="59"/>
      <c r="F81" s="69"/>
      <c r="G81" s="242" t="s">
        <v>185</v>
      </c>
      <c r="H81" s="242"/>
      <c r="I81" s="241" t="s">
        <v>57</v>
      </c>
      <c r="J81" s="241"/>
      <c r="K81" s="241"/>
      <c r="L81" s="241"/>
      <c r="M81" s="241"/>
      <c r="N81" s="241"/>
      <c r="O81" s="241"/>
      <c r="P81" s="241"/>
      <c r="Q81" s="241"/>
      <c r="R81" s="241"/>
      <c r="S81" s="243"/>
      <c r="T81" s="243"/>
      <c r="U81" s="243"/>
      <c r="V81" s="253"/>
      <c r="W81" s="253"/>
      <c r="X81" s="253"/>
      <c r="Y81" s="244">
        <f t="shared" si="2"/>
        <v>0</v>
      </c>
      <c r="Z81" s="244"/>
      <c r="AA81" s="244"/>
      <c r="AB81" s="34"/>
      <c r="AC81" s="299"/>
      <c r="AD81" s="300"/>
      <c r="AE81" s="300"/>
      <c r="AF81" s="300"/>
      <c r="AG81" s="300"/>
      <c r="AH81" s="300"/>
      <c r="AI81" s="300"/>
      <c r="AJ81" s="300"/>
      <c r="AK81" s="300"/>
      <c r="AL81" s="300"/>
      <c r="AM81" s="300"/>
      <c r="AN81" s="300"/>
      <c r="AO81" s="300"/>
      <c r="AP81" s="300"/>
      <c r="AQ81" s="300"/>
      <c r="AR81" s="300"/>
      <c r="AS81" s="300"/>
      <c r="AT81" s="300"/>
      <c r="AU81" s="300"/>
      <c r="AV81" s="300"/>
      <c r="AW81" s="301"/>
      <c r="AX81" s="34"/>
      <c r="BB81" s="85">
        <v>20</v>
      </c>
      <c r="BC81" s="96"/>
      <c r="BD81" s="86">
        <f t="shared" si="0"/>
        <v>0</v>
      </c>
      <c r="BE81" s="89">
        <f t="shared" si="1"/>
        <v>0</v>
      </c>
    </row>
    <row r="82" spans="1:62" ht="11.1" customHeight="1" x14ac:dyDescent="0.2">
      <c r="C82" s="29"/>
      <c r="D82" s="59"/>
      <c r="F82" s="68"/>
      <c r="G82" s="242" t="s">
        <v>186</v>
      </c>
      <c r="H82" s="242"/>
      <c r="I82" s="241" t="s">
        <v>68</v>
      </c>
      <c r="J82" s="241"/>
      <c r="K82" s="241"/>
      <c r="L82" s="241"/>
      <c r="M82" s="241"/>
      <c r="N82" s="241"/>
      <c r="O82" s="241"/>
      <c r="P82" s="241"/>
      <c r="Q82" s="241"/>
      <c r="R82" s="241"/>
      <c r="S82" s="243"/>
      <c r="T82" s="243"/>
      <c r="U82" s="243"/>
      <c r="V82" s="253"/>
      <c r="W82" s="253"/>
      <c r="X82" s="253"/>
      <c r="Y82" s="244">
        <f t="shared" si="2"/>
        <v>0</v>
      </c>
      <c r="Z82" s="244"/>
      <c r="AA82" s="244"/>
      <c r="AB82" s="34"/>
      <c r="AC82" s="299"/>
      <c r="AD82" s="300"/>
      <c r="AE82" s="300"/>
      <c r="AF82" s="300"/>
      <c r="AG82" s="300"/>
      <c r="AH82" s="300"/>
      <c r="AI82" s="300"/>
      <c r="AJ82" s="300"/>
      <c r="AK82" s="300"/>
      <c r="AL82" s="300"/>
      <c r="AM82" s="300"/>
      <c r="AN82" s="300"/>
      <c r="AO82" s="300"/>
      <c r="AP82" s="300"/>
      <c r="AQ82" s="300"/>
      <c r="AR82" s="300"/>
      <c r="AS82" s="300"/>
      <c r="AT82" s="300"/>
      <c r="AU82" s="300"/>
      <c r="AV82" s="300"/>
      <c r="AW82" s="301"/>
      <c r="AX82" s="34"/>
      <c r="BB82" s="85">
        <v>21</v>
      </c>
      <c r="BC82" s="96"/>
      <c r="BD82" s="86">
        <f t="shared" si="0"/>
        <v>0</v>
      </c>
      <c r="BE82" s="89">
        <f t="shared" si="1"/>
        <v>0</v>
      </c>
      <c r="BJ82" s="99"/>
    </row>
    <row r="83" spans="1:62" ht="11.1" customHeight="1" x14ac:dyDescent="0.2">
      <c r="C83" s="29"/>
      <c r="D83" s="59"/>
      <c r="F83" s="68"/>
      <c r="G83" s="242" t="s">
        <v>187</v>
      </c>
      <c r="H83" s="242"/>
      <c r="I83" s="241" t="s">
        <v>70</v>
      </c>
      <c r="J83" s="241"/>
      <c r="K83" s="241"/>
      <c r="L83" s="241"/>
      <c r="M83" s="241"/>
      <c r="N83" s="241"/>
      <c r="O83" s="241"/>
      <c r="P83" s="241"/>
      <c r="Q83" s="241"/>
      <c r="R83" s="241"/>
      <c r="S83" s="243"/>
      <c r="T83" s="243"/>
      <c r="U83" s="243"/>
      <c r="V83" s="253"/>
      <c r="W83" s="253"/>
      <c r="X83" s="253"/>
      <c r="Y83" s="244">
        <f t="shared" si="2"/>
        <v>0</v>
      </c>
      <c r="Z83" s="244"/>
      <c r="AA83" s="244"/>
      <c r="AC83" s="299"/>
      <c r="AD83" s="300"/>
      <c r="AE83" s="300"/>
      <c r="AF83" s="300"/>
      <c r="AG83" s="300"/>
      <c r="AH83" s="300"/>
      <c r="AI83" s="300"/>
      <c r="AJ83" s="300"/>
      <c r="AK83" s="300"/>
      <c r="AL83" s="300"/>
      <c r="AM83" s="300"/>
      <c r="AN83" s="300"/>
      <c r="AO83" s="300"/>
      <c r="AP83" s="300"/>
      <c r="AQ83" s="300"/>
      <c r="AR83" s="300"/>
      <c r="AS83" s="300"/>
      <c r="AT83" s="300"/>
      <c r="AU83" s="300"/>
      <c r="AV83" s="300"/>
      <c r="AW83" s="301"/>
      <c r="BB83" s="85">
        <v>22</v>
      </c>
      <c r="BC83" s="96"/>
      <c r="BD83" s="86">
        <f t="shared" si="0"/>
        <v>0</v>
      </c>
      <c r="BE83" s="89">
        <f t="shared" si="1"/>
        <v>0</v>
      </c>
      <c r="BG83" s="98"/>
    </row>
    <row r="84" spans="1:62" ht="11.1" customHeight="1" x14ac:dyDescent="0.2">
      <c r="C84" s="29"/>
      <c r="D84" s="59"/>
      <c r="F84" s="69"/>
      <c r="G84" s="242" t="s">
        <v>188</v>
      </c>
      <c r="H84" s="242"/>
      <c r="I84" s="241" t="s">
        <v>67</v>
      </c>
      <c r="J84" s="241"/>
      <c r="K84" s="241"/>
      <c r="L84" s="241"/>
      <c r="M84" s="241"/>
      <c r="N84" s="241"/>
      <c r="O84" s="241"/>
      <c r="P84" s="241"/>
      <c r="Q84" s="241"/>
      <c r="R84" s="241"/>
      <c r="S84" s="243"/>
      <c r="T84" s="243"/>
      <c r="U84" s="243"/>
      <c r="V84" s="253"/>
      <c r="W84" s="253"/>
      <c r="X84" s="253"/>
      <c r="Y84" s="244">
        <f t="shared" si="2"/>
        <v>0</v>
      </c>
      <c r="Z84" s="244"/>
      <c r="AA84" s="244"/>
      <c r="AB84" s="34"/>
      <c r="AC84" s="299"/>
      <c r="AD84" s="300"/>
      <c r="AE84" s="300"/>
      <c r="AF84" s="300"/>
      <c r="AG84" s="300"/>
      <c r="AH84" s="300"/>
      <c r="AI84" s="300"/>
      <c r="AJ84" s="300"/>
      <c r="AK84" s="300"/>
      <c r="AL84" s="300"/>
      <c r="AM84" s="300"/>
      <c r="AN84" s="300"/>
      <c r="AO84" s="300"/>
      <c r="AP84" s="300"/>
      <c r="AQ84" s="300"/>
      <c r="AR84" s="300"/>
      <c r="AS84" s="300"/>
      <c r="AT84" s="300"/>
      <c r="AU84" s="300"/>
      <c r="AV84" s="300"/>
      <c r="AW84" s="301"/>
      <c r="BB84" s="85">
        <v>23</v>
      </c>
      <c r="BC84" s="96"/>
      <c r="BD84" s="86">
        <f t="shared" si="0"/>
        <v>0</v>
      </c>
      <c r="BE84" s="89">
        <f t="shared" si="1"/>
        <v>0</v>
      </c>
      <c r="BG84" s="98"/>
    </row>
    <row r="85" spans="1:62" ht="11.1" customHeight="1" x14ac:dyDescent="0.2">
      <c r="C85" s="29"/>
      <c r="D85" s="59"/>
      <c r="F85" s="69"/>
      <c r="G85" s="242" t="s">
        <v>189</v>
      </c>
      <c r="H85" s="242"/>
      <c r="I85" s="241" t="s">
        <v>69</v>
      </c>
      <c r="J85" s="241"/>
      <c r="K85" s="241"/>
      <c r="L85" s="241"/>
      <c r="M85" s="241"/>
      <c r="N85" s="241"/>
      <c r="O85" s="241"/>
      <c r="P85" s="241"/>
      <c r="Q85" s="241"/>
      <c r="R85" s="241"/>
      <c r="S85" s="243"/>
      <c r="T85" s="243"/>
      <c r="U85" s="243"/>
      <c r="V85" s="253"/>
      <c r="W85" s="253"/>
      <c r="X85" s="253"/>
      <c r="Y85" s="244">
        <f t="shared" si="2"/>
        <v>0</v>
      </c>
      <c r="Z85" s="244"/>
      <c r="AA85" s="244"/>
      <c r="AB85" s="34"/>
      <c r="AC85" s="299"/>
      <c r="AD85" s="300"/>
      <c r="AE85" s="300"/>
      <c r="AF85" s="300"/>
      <c r="AG85" s="300"/>
      <c r="AH85" s="300"/>
      <c r="AI85" s="300"/>
      <c r="AJ85" s="300"/>
      <c r="AK85" s="300"/>
      <c r="AL85" s="300"/>
      <c r="AM85" s="300"/>
      <c r="AN85" s="300"/>
      <c r="AO85" s="300"/>
      <c r="AP85" s="300"/>
      <c r="AQ85" s="300"/>
      <c r="AR85" s="300"/>
      <c r="AS85" s="300"/>
      <c r="AT85" s="300"/>
      <c r="AU85" s="300"/>
      <c r="AV85" s="300"/>
      <c r="AW85" s="301"/>
      <c r="BB85" s="85">
        <v>24</v>
      </c>
      <c r="BC85" s="96"/>
      <c r="BD85" s="86">
        <f t="shared" si="0"/>
        <v>0</v>
      </c>
      <c r="BE85" s="89">
        <f t="shared" si="1"/>
        <v>0</v>
      </c>
      <c r="BG85" s="98"/>
    </row>
    <row r="86" spans="1:62" ht="11.1" customHeight="1" x14ac:dyDescent="0.2">
      <c r="C86" s="29"/>
      <c r="D86" s="59"/>
      <c r="F86" s="69"/>
      <c r="G86" s="242" t="s">
        <v>190</v>
      </c>
      <c r="H86" s="242"/>
      <c r="I86" s="241" t="s">
        <v>58</v>
      </c>
      <c r="J86" s="241"/>
      <c r="K86" s="241"/>
      <c r="L86" s="241"/>
      <c r="M86" s="241"/>
      <c r="N86" s="241"/>
      <c r="O86" s="241"/>
      <c r="P86" s="241"/>
      <c r="Q86" s="241"/>
      <c r="R86" s="241"/>
      <c r="S86" s="243"/>
      <c r="T86" s="243"/>
      <c r="U86" s="243"/>
      <c r="V86" s="253"/>
      <c r="W86" s="253"/>
      <c r="X86" s="253"/>
      <c r="Y86" s="244">
        <f t="shared" si="2"/>
        <v>0</v>
      </c>
      <c r="Z86" s="244"/>
      <c r="AA86" s="244"/>
      <c r="AB86" s="34"/>
      <c r="AC86" s="299"/>
      <c r="AD86" s="300"/>
      <c r="AE86" s="300"/>
      <c r="AF86" s="300"/>
      <c r="AG86" s="300"/>
      <c r="AH86" s="300"/>
      <c r="AI86" s="300"/>
      <c r="AJ86" s="300"/>
      <c r="AK86" s="300"/>
      <c r="AL86" s="300"/>
      <c r="AM86" s="300"/>
      <c r="AN86" s="300"/>
      <c r="AO86" s="300"/>
      <c r="AP86" s="300"/>
      <c r="AQ86" s="300"/>
      <c r="AR86" s="300"/>
      <c r="AS86" s="300"/>
      <c r="AT86" s="300"/>
      <c r="AU86" s="300"/>
      <c r="AV86" s="300"/>
      <c r="AW86" s="301"/>
      <c r="BB86" s="85">
        <v>25</v>
      </c>
      <c r="BC86" s="96"/>
      <c r="BD86" s="86">
        <f t="shared" si="0"/>
        <v>0</v>
      </c>
      <c r="BE86" s="89">
        <f t="shared" si="1"/>
        <v>0</v>
      </c>
      <c r="BG86" s="98"/>
    </row>
    <row r="87" spans="1:62" ht="11.1" customHeight="1" x14ac:dyDescent="0.2">
      <c r="C87" s="29"/>
      <c r="D87" s="59"/>
      <c r="F87" s="69"/>
      <c r="G87" s="262" t="s">
        <v>191</v>
      </c>
      <c r="H87" s="262"/>
      <c r="I87" s="260" t="s">
        <v>71</v>
      </c>
      <c r="J87" s="260"/>
      <c r="K87" s="260"/>
      <c r="L87" s="260"/>
      <c r="M87" s="260"/>
      <c r="N87" s="260"/>
      <c r="O87" s="260"/>
      <c r="P87" s="260"/>
      <c r="Q87" s="260"/>
      <c r="R87" s="260"/>
      <c r="S87" s="264"/>
      <c r="T87" s="264"/>
      <c r="U87" s="264"/>
      <c r="V87" s="263"/>
      <c r="W87" s="263"/>
      <c r="X87" s="263"/>
      <c r="Y87" s="245">
        <f t="shared" si="2"/>
        <v>0</v>
      </c>
      <c r="Z87" s="245"/>
      <c r="AA87" s="245"/>
      <c r="AB87" s="34"/>
      <c r="AC87" s="302"/>
      <c r="AD87" s="303"/>
      <c r="AE87" s="303"/>
      <c r="AF87" s="303"/>
      <c r="AG87" s="303"/>
      <c r="AH87" s="303"/>
      <c r="AI87" s="303"/>
      <c r="AJ87" s="303"/>
      <c r="AK87" s="303"/>
      <c r="AL87" s="303"/>
      <c r="AM87" s="303"/>
      <c r="AN87" s="303"/>
      <c r="AO87" s="303"/>
      <c r="AP87" s="303"/>
      <c r="AQ87" s="303"/>
      <c r="AR87" s="303"/>
      <c r="AS87" s="303"/>
      <c r="AT87" s="303"/>
      <c r="AU87" s="303"/>
      <c r="AV87" s="303"/>
      <c r="AW87" s="304"/>
      <c r="BB87" s="85">
        <v>26</v>
      </c>
      <c r="BC87" s="96"/>
      <c r="BD87" s="86">
        <f t="shared" si="0"/>
        <v>0</v>
      </c>
      <c r="BE87" s="89">
        <f t="shared" si="1"/>
        <v>0</v>
      </c>
    </row>
    <row r="88" spans="1:62" ht="11.1" customHeight="1" x14ac:dyDescent="0.2">
      <c r="C88" s="29"/>
      <c r="D88" s="59"/>
      <c r="F88" s="69"/>
      <c r="G88" s="312" t="s">
        <v>192</v>
      </c>
      <c r="H88" s="312"/>
      <c r="I88" s="325" t="s">
        <v>84</v>
      </c>
      <c r="J88" s="325"/>
      <c r="K88" s="325"/>
      <c r="L88" s="325"/>
      <c r="M88" s="325"/>
      <c r="N88" s="325"/>
      <c r="O88" s="325"/>
      <c r="P88" s="325"/>
      <c r="Q88" s="325"/>
      <c r="R88" s="326"/>
      <c r="S88" s="261">
        <f>SUM(S68:U87)</f>
        <v>0</v>
      </c>
      <c r="T88" s="261"/>
      <c r="U88" s="261"/>
      <c r="V88" s="313"/>
      <c r="W88" s="313"/>
      <c r="X88" s="313"/>
      <c r="Y88" s="323">
        <f>SUM(Y68:AA87)</f>
        <v>0</v>
      </c>
      <c r="Z88" s="324"/>
      <c r="AA88" s="324"/>
      <c r="AB88" s="34"/>
      <c r="AC88" s="338">
        <f>IF(OR(AS74="",AS74=0),0,IF((BH61-BH62)&gt;2,"OBRA EM ATRASO - O CRONOGRAMA NECESSITA DE REPROGRAMAÇÃO",""))</f>
        <v>0</v>
      </c>
      <c r="AD88" s="339"/>
      <c r="AE88" s="339"/>
      <c r="AF88" s="339"/>
      <c r="AG88" s="339"/>
      <c r="AH88" s="339"/>
      <c r="AI88" s="339"/>
      <c r="AJ88" s="339"/>
      <c r="AK88" s="339"/>
      <c r="AL88" s="339"/>
      <c r="AM88" s="339"/>
      <c r="AN88" s="339"/>
      <c r="AO88" s="339"/>
      <c r="AP88" s="339"/>
      <c r="AQ88" s="339"/>
      <c r="AR88" s="339"/>
      <c r="AS88" s="339"/>
      <c r="AT88" s="339"/>
      <c r="AU88" s="339"/>
      <c r="AV88" s="339"/>
      <c r="AW88" s="340"/>
      <c r="BB88" s="85">
        <v>27</v>
      </c>
      <c r="BC88" s="96"/>
      <c r="BD88" s="86">
        <f t="shared" si="0"/>
        <v>0</v>
      </c>
      <c r="BE88" s="89">
        <f t="shared" si="1"/>
        <v>0</v>
      </c>
      <c r="BG88" s="101"/>
    </row>
    <row r="89" spans="1:62" ht="11.1" customHeight="1" x14ac:dyDescent="0.2">
      <c r="C89" s="29"/>
      <c r="D89" s="59"/>
      <c r="F89" s="69"/>
      <c r="G89" s="311" t="s">
        <v>96</v>
      </c>
      <c r="H89" s="328"/>
      <c r="I89" s="331" t="s">
        <v>85</v>
      </c>
      <c r="J89" s="331"/>
      <c r="K89" s="331"/>
      <c r="L89" s="331"/>
      <c r="M89" s="331"/>
      <c r="N89" s="331"/>
      <c r="O89" s="331"/>
      <c r="P89" s="331"/>
      <c r="Q89" s="331"/>
      <c r="R89" s="332"/>
      <c r="S89" s="313"/>
      <c r="T89" s="313"/>
      <c r="U89" s="313"/>
      <c r="V89" s="329"/>
      <c r="W89" s="330"/>
      <c r="X89" s="330"/>
      <c r="Y89" s="250"/>
      <c r="Z89" s="251"/>
      <c r="AA89" s="251"/>
      <c r="AB89" s="34"/>
      <c r="AC89" s="341"/>
      <c r="AD89" s="342"/>
      <c r="AE89" s="342"/>
      <c r="AF89" s="342"/>
      <c r="AG89" s="342"/>
      <c r="AH89" s="342"/>
      <c r="AI89" s="342"/>
      <c r="AJ89" s="342"/>
      <c r="AK89" s="342"/>
      <c r="AL89" s="342"/>
      <c r="AM89" s="342"/>
      <c r="AN89" s="342"/>
      <c r="AO89" s="342"/>
      <c r="AP89" s="342"/>
      <c r="AQ89" s="342"/>
      <c r="AR89" s="342"/>
      <c r="AS89" s="342"/>
      <c r="AT89" s="342"/>
      <c r="AU89" s="342"/>
      <c r="AV89" s="342"/>
      <c r="AW89" s="343"/>
      <c r="BB89" s="85">
        <v>28</v>
      </c>
      <c r="BC89" s="96"/>
      <c r="BD89" s="86">
        <f>BC89+BD88</f>
        <v>0</v>
      </c>
      <c r="BE89" s="89">
        <f t="shared" si="1"/>
        <v>0</v>
      </c>
      <c r="BG89" s="88"/>
    </row>
    <row r="90" spans="1:62" ht="11.1" customHeight="1" x14ac:dyDescent="0.2">
      <c r="C90" s="29"/>
      <c r="D90" s="59"/>
      <c r="F90" s="69"/>
      <c r="G90" s="328"/>
      <c r="H90" s="328"/>
      <c r="I90" s="333"/>
      <c r="J90" s="331"/>
      <c r="K90" s="331"/>
      <c r="L90" s="331"/>
      <c r="M90" s="331"/>
      <c r="N90" s="331"/>
      <c r="O90" s="331"/>
      <c r="P90" s="331"/>
      <c r="Q90" s="331"/>
      <c r="R90" s="332"/>
      <c r="S90" s="313"/>
      <c r="T90" s="313"/>
      <c r="U90" s="313"/>
      <c r="V90" s="330"/>
      <c r="W90" s="330"/>
      <c r="X90" s="330"/>
      <c r="Y90" s="252"/>
      <c r="Z90" s="251"/>
      <c r="AA90" s="251"/>
      <c r="AB90" s="34"/>
      <c r="AC90" s="341"/>
      <c r="AD90" s="342"/>
      <c r="AE90" s="342"/>
      <c r="AF90" s="342"/>
      <c r="AG90" s="342"/>
      <c r="AH90" s="342"/>
      <c r="AI90" s="342"/>
      <c r="AJ90" s="342"/>
      <c r="AK90" s="342"/>
      <c r="AL90" s="342"/>
      <c r="AM90" s="342"/>
      <c r="AN90" s="342"/>
      <c r="AO90" s="342"/>
      <c r="AP90" s="342"/>
      <c r="AQ90" s="342"/>
      <c r="AR90" s="342"/>
      <c r="AS90" s="342"/>
      <c r="AT90" s="342"/>
      <c r="AU90" s="342"/>
      <c r="AV90" s="342"/>
      <c r="AW90" s="343"/>
      <c r="BB90" s="85">
        <v>29</v>
      </c>
      <c r="BC90" s="96"/>
      <c r="BD90" s="86">
        <f>BC90+BD89</f>
        <v>0</v>
      </c>
      <c r="BE90" s="89">
        <f t="shared" si="1"/>
        <v>0</v>
      </c>
      <c r="BG90" s="100"/>
    </row>
    <row r="91" spans="1:62" ht="11.1" customHeight="1" x14ac:dyDescent="0.2">
      <c r="C91" s="29"/>
      <c r="D91" s="59"/>
      <c r="F91" s="69"/>
      <c r="G91" s="311" t="s">
        <v>97</v>
      </c>
      <c r="H91" s="311"/>
      <c r="I91" s="331" t="s">
        <v>86</v>
      </c>
      <c r="J91" s="331"/>
      <c r="K91" s="331"/>
      <c r="L91" s="331"/>
      <c r="M91" s="331"/>
      <c r="N91" s="331"/>
      <c r="O91" s="331"/>
      <c r="P91" s="331"/>
      <c r="Q91" s="331"/>
      <c r="R91" s="332"/>
      <c r="S91" s="313"/>
      <c r="T91" s="313"/>
      <c r="U91" s="313"/>
      <c r="V91" s="313"/>
      <c r="W91" s="313"/>
      <c r="X91" s="313"/>
      <c r="Y91" s="323">
        <f>Y88-Y89</f>
        <v>0</v>
      </c>
      <c r="Z91" s="324"/>
      <c r="AA91" s="324"/>
      <c r="AB91" s="34"/>
      <c r="AC91" s="341"/>
      <c r="AD91" s="342"/>
      <c r="AE91" s="342"/>
      <c r="AF91" s="342"/>
      <c r="AG91" s="342"/>
      <c r="AH91" s="342"/>
      <c r="AI91" s="342"/>
      <c r="AJ91" s="342"/>
      <c r="AK91" s="342"/>
      <c r="AL91" s="342"/>
      <c r="AM91" s="342"/>
      <c r="AN91" s="342"/>
      <c r="AO91" s="342"/>
      <c r="AP91" s="342"/>
      <c r="AQ91" s="342"/>
      <c r="AR91" s="342"/>
      <c r="AS91" s="342"/>
      <c r="AT91" s="342"/>
      <c r="AU91" s="342"/>
      <c r="AV91" s="342"/>
      <c r="AW91" s="343"/>
      <c r="BB91" s="85">
        <v>30</v>
      </c>
      <c r="BC91" s="96"/>
      <c r="BD91" s="86">
        <f>BC91+BD90</f>
        <v>0</v>
      </c>
      <c r="BE91" s="89">
        <f t="shared" si="1"/>
        <v>0</v>
      </c>
    </row>
    <row r="92" spans="1:62" ht="11.1" customHeight="1" x14ac:dyDescent="0.2">
      <c r="C92" s="29"/>
      <c r="D92" s="59"/>
      <c r="F92" s="69"/>
      <c r="G92" s="133" t="s">
        <v>193</v>
      </c>
      <c r="H92" s="134"/>
      <c r="I92" s="134"/>
      <c r="J92" s="134"/>
      <c r="K92" s="134"/>
      <c r="L92" s="134"/>
      <c r="M92" s="134"/>
      <c r="N92" s="134"/>
      <c r="O92" s="134"/>
      <c r="P92" s="134"/>
      <c r="Q92" s="134"/>
      <c r="R92" s="134"/>
      <c r="S92" s="134"/>
      <c r="T92" s="134"/>
      <c r="U92" s="134"/>
      <c r="V92" s="134"/>
      <c r="W92" s="134"/>
      <c r="X92" s="134"/>
      <c r="Y92" s="134"/>
      <c r="Z92" s="134"/>
      <c r="AA92" s="134"/>
      <c r="AB92" s="135"/>
      <c r="AC92" s="135"/>
      <c r="AD92" s="135"/>
      <c r="AE92" s="135"/>
      <c r="AF92" s="135"/>
      <c r="AG92" s="135"/>
      <c r="AH92" s="135"/>
      <c r="AI92" s="135"/>
      <c r="AJ92" s="135"/>
      <c r="AK92" s="135"/>
      <c r="AL92" s="135"/>
      <c r="AM92" s="135"/>
      <c r="AN92" s="135"/>
      <c r="AO92" s="135"/>
      <c r="AP92" s="135"/>
      <c r="AQ92" s="135"/>
      <c r="AR92" s="135"/>
      <c r="AS92" s="113"/>
      <c r="AT92" s="114"/>
      <c r="AU92" s="114"/>
      <c r="AV92" s="114"/>
      <c r="AW92" s="115"/>
      <c r="BB92" s="109"/>
      <c r="BC92" s="110"/>
      <c r="BD92" s="111"/>
      <c r="BE92" s="112"/>
    </row>
    <row r="93" spans="1:62" ht="3.95" customHeight="1" x14ac:dyDescent="0.2">
      <c r="C93" s="29"/>
      <c r="D93" s="59"/>
      <c r="G93" s="21"/>
      <c r="H93" s="21"/>
      <c r="I93" s="21"/>
      <c r="J93" s="21"/>
      <c r="K93" s="21"/>
      <c r="L93" s="21"/>
      <c r="M93" s="21"/>
      <c r="N93" s="21"/>
      <c r="O93" s="21"/>
      <c r="P93" s="21"/>
      <c r="Q93" s="21"/>
      <c r="R93" s="21"/>
      <c r="S93" s="21"/>
      <c r="T93" s="21"/>
      <c r="U93" s="21"/>
      <c r="V93" s="21"/>
      <c r="W93" s="21"/>
      <c r="X93" s="21"/>
      <c r="Y93" s="21"/>
      <c r="Z93" s="21"/>
      <c r="AA93" s="21"/>
      <c r="AB93" s="21"/>
      <c r="AC93" s="21"/>
      <c r="AD93" s="21"/>
      <c r="AE93" s="21"/>
      <c r="AF93" s="21"/>
      <c r="AG93" s="21"/>
      <c r="AH93" s="21"/>
      <c r="AI93" s="21"/>
      <c r="AJ93" s="22"/>
      <c r="AK93" s="29"/>
      <c r="AL93" s="29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Y93" s="34"/>
      <c r="BC93" s="90">
        <f>SUM(BC61:BC91)</f>
        <v>0</v>
      </c>
    </row>
    <row r="94" spans="1:62" ht="11.1" customHeight="1" thickBot="1" x14ac:dyDescent="0.25">
      <c r="A94" s="66"/>
      <c r="B94" s="66"/>
      <c r="C94" s="66"/>
      <c r="D94" s="22"/>
      <c r="E94" s="19"/>
      <c r="F94" s="82"/>
      <c r="G94" s="83" t="s">
        <v>160</v>
      </c>
      <c r="H94" s="82"/>
      <c r="I94" s="82"/>
      <c r="J94" s="82"/>
      <c r="K94" s="82"/>
      <c r="L94" s="82"/>
      <c r="M94" s="82"/>
      <c r="N94" s="82"/>
      <c r="O94" s="82"/>
      <c r="P94" s="82"/>
      <c r="Q94" s="82"/>
      <c r="R94" s="82"/>
      <c r="S94" s="82"/>
      <c r="T94" s="82"/>
      <c r="U94" s="82"/>
      <c r="V94" s="82"/>
      <c r="W94" s="82"/>
      <c r="X94" s="82"/>
      <c r="Y94" s="82"/>
      <c r="Z94" s="82"/>
      <c r="AA94" s="82"/>
      <c r="AB94" s="82"/>
      <c r="AC94" s="82"/>
      <c r="AD94" s="82"/>
      <c r="AE94" s="82"/>
      <c r="AF94" s="82"/>
      <c r="AG94" s="82"/>
      <c r="AH94" s="82"/>
      <c r="AI94" s="82"/>
      <c r="AJ94" s="82"/>
      <c r="AK94" s="82"/>
      <c r="AL94" s="82"/>
      <c r="AM94" s="82"/>
      <c r="AN94" s="82"/>
      <c r="AO94" s="82"/>
      <c r="AP94" s="82"/>
      <c r="AQ94" s="82"/>
      <c r="AR94" s="82"/>
      <c r="AS94" s="82"/>
      <c r="AT94" s="82"/>
      <c r="AU94" s="82"/>
      <c r="AV94" s="82"/>
      <c r="AW94" s="82"/>
      <c r="AX94" s="84"/>
      <c r="AZ94" s="43"/>
      <c r="BG94" s="101"/>
    </row>
    <row r="95" spans="1:62" ht="3.95" customHeight="1" x14ac:dyDescent="0.2">
      <c r="C95" s="29"/>
      <c r="D95" s="59"/>
      <c r="E95" s="5" t="s">
        <v>13</v>
      </c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18"/>
      <c r="AK95" s="55"/>
      <c r="AL95" s="55"/>
      <c r="AM95" s="55"/>
      <c r="AN95" s="55"/>
      <c r="AO95" s="55"/>
      <c r="AP95" s="55"/>
      <c r="AY95" s="34"/>
    </row>
    <row r="96" spans="1:62" ht="11.1" customHeight="1" x14ac:dyDescent="0.2">
      <c r="C96" s="29"/>
      <c r="D96" s="59"/>
      <c r="F96" s="69"/>
      <c r="G96" s="116"/>
      <c r="H96" s="117"/>
      <c r="I96" s="117"/>
      <c r="J96" s="117"/>
      <c r="K96" s="117"/>
      <c r="L96" s="117"/>
      <c r="M96" s="117"/>
      <c r="N96" s="117"/>
      <c r="O96" s="117"/>
      <c r="P96" s="117"/>
      <c r="Q96" s="117"/>
      <c r="R96" s="117"/>
      <c r="S96" s="117"/>
      <c r="T96" s="117"/>
      <c r="U96" s="117"/>
      <c r="V96" s="117"/>
      <c r="W96" s="117"/>
      <c r="X96" s="117"/>
      <c r="Y96" s="117"/>
      <c r="Z96" s="117"/>
      <c r="AA96" s="118"/>
      <c r="AB96" s="44"/>
      <c r="AC96" s="116"/>
      <c r="AD96" s="117"/>
      <c r="AE96" s="117"/>
      <c r="AF96" s="117"/>
      <c r="AG96" s="117"/>
      <c r="AH96" s="117"/>
      <c r="AI96" s="117"/>
      <c r="AJ96" s="117"/>
      <c r="AK96" s="117"/>
      <c r="AL96" s="117"/>
      <c r="AM96" s="117"/>
      <c r="AN96" s="117"/>
      <c r="AO96" s="117"/>
      <c r="AP96" s="117"/>
      <c r="AQ96" s="117"/>
      <c r="AR96" s="117"/>
      <c r="AS96" s="117"/>
      <c r="AT96" s="117"/>
      <c r="AU96" s="117"/>
      <c r="AV96" s="117"/>
      <c r="AW96" s="118"/>
      <c r="AY96" s="34"/>
      <c r="BG96" s="101"/>
      <c r="BJ96" s="99"/>
    </row>
    <row r="97" spans="3:59" ht="11.1" customHeight="1" x14ac:dyDescent="0.2">
      <c r="C97" s="29"/>
      <c r="D97" s="59"/>
      <c r="F97" s="69"/>
      <c r="G97" s="119"/>
      <c r="H97" s="120"/>
      <c r="I97" s="120"/>
      <c r="J97" s="120"/>
      <c r="K97" s="120"/>
      <c r="L97" s="120"/>
      <c r="M97" s="120"/>
      <c r="N97" s="120"/>
      <c r="O97" s="120"/>
      <c r="P97" s="120"/>
      <c r="Q97" s="120"/>
      <c r="R97" s="120"/>
      <c r="S97" s="120"/>
      <c r="T97" s="120"/>
      <c r="U97" s="120"/>
      <c r="V97" s="120"/>
      <c r="W97" s="120"/>
      <c r="X97" s="120"/>
      <c r="Y97" s="120"/>
      <c r="Z97" s="120"/>
      <c r="AA97" s="121"/>
      <c r="AB97" s="44"/>
      <c r="AC97" s="119"/>
      <c r="AD97" s="120"/>
      <c r="AE97" s="120"/>
      <c r="AF97" s="120"/>
      <c r="AG97" s="120"/>
      <c r="AH97" s="120"/>
      <c r="AI97" s="120"/>
      <c r="AJ97" s="120"/>
      <c r="AK97" s="120"/>
      <c r="AL97" s="120"/>
      <c r="AM97" s="120"/>
      <c r="AN97" s="120"/>
      <c r="AO97" s="120"/>
      <c r="AP97" s="120"/>
      <c r="AQ97" s="120"/>
      <c r="AR97" s="120"/>
      <c r="AS97" s="120"/>
      <c r="AT97" s="120"/>
      <c r="AU97" s="120"/>
      <c r="AV97" s="120"/>
      <c r="AW97" s="121"/>
      <c r="AY97" s="34"/>
      <c r="BG97" s="101"/>
    </row>
    <row r="98" spans="3:59" ht="11.1" customHeight="1" x14ac:dyDescent="0.2">
      <c r="C98" s="29"/>
      <c r="D98" s="59"/>
      <c r="F98" s="69"/>
      <c r="G98" s="119"/>
      <c r="H98" s="120"/>
      <c r="I98" s="120"/>
      <c r="J98" s="120"/>
      <c r="K98" s="120"/>
      <c r="L98" s="120"/>
      <c r="M98" s="120"/>
      <c r="N98" s="120"/>
      <c r="O98" s="120"/>
      <c r="P98" s="120"/>
      <c r="Q98" s="120"/>
      <c r="R98" s="120"/>
      <c r="S98" s="120"/>
      <c r="T98" s="120"/>
      <c r="U98" s="120"/>
      <c r="V98" s="120"/>
      <c r="W98" s="120"/>
      <c r="X98" s="120"/>
      <c r="Y98" s="120"/>
      <c r="Z98" s="120"/>
      <c r="AA98" s="121"/>
      <c r="AB98" s="44"/>
      <c r="AC98" s="119"/>
      <c r="AD98" s="120"/>
      <c r="AE98" s="120"/>
      <c r="AF98" s="120"/>
      <c r="AG98" s="120"/>
      <c r="AH98" s="120"/>
      <c r="AI98" s="120"/>
      <c r="AJ98" s="120"/>
      <c r="AK98" s="120"/>
      <c r="AL98" s="120"/>
      <c r="AM98" s="120"/>
      <c r="AN98" s="120"/>
      <c r="AO98" s="120"/>
      <c r="AP98" s="120"/>
      <c r="AQ98" s="120"/>
      <c r="AR98" s="120"/>
      <c r="AS98" s="120"/>
      <c r="AT98" s="120"/>
      <c r="AU98" s="120"/>
      <c r="AV98" s="120"/>
      <c r="AW98" s="121"/>
      <c r="AY98" s="34"/>
      <c r="BG98" s="101"/>
    </row>
    <row r="99" spans="3:59" ht="11.1" customHeight="1" x14ac:dyDescent="0.2">
      <c r="C99" s="29"/>
      <c r="D99" s="59"/>
      <c r="F99" s="69"/>
      <c r="G99" s="119"/>
      <c r="H99" s="120"/>
      <c r="I99" s="120"/>
      <c r="J99" s="120"/>
      <c r="K99" s="120"/>
      <c r="L99" s="120"/>
      <c r="M99" s="120"/>
      <c r="N99" s="120"/>
      <c r="O99" s="120"/>
      <c r="P99" s="120"/>
      <c r="Q99" s="120"/>
      <c r="R99" s="120"/>
      <c r="S99" s="120"/>
      <c r="T99" s="120"/>
      <c r="U99" s="120"/>
      <c r="V99" s="120"/>
      <c r="W99" s="120"/>
      <c r="X99" s="120"/>
      <c r="Y99" s="120"/>
      <c r="Z99" s="120"/>
      <c r="AA99" s="121"/>
      <c r="AB99" s="44"/>
      <c r="AC99" s="119"/>
      <c r="AD99" s="120"/>
      <c r="AE99" s="120"/>
      <c r="AF99" s="120"/>
      <c r="AG99" s="120"/>
      <c r="AH99" s="120"/>
      <c r="AI99" s="120"/>
      <c r="AJ99" s="120"/>
      <c r="AK99" s="120"/>
      <c r="AL99" s="120"/>
      <c r="AM99" s="120"/>
      <c r="AN99" s="120"/>
      <c r="AO99" s="120"/>
      <c r="AP99" s="120"/>
      <c r="AQ99" s="120"/>
      <c r="AR99" s="120"/>
      <c r="AS99" s="120"/>
      <c r="AT99" s="120"/>
      <c r="AU99" s="120"/>
      <c r="AV99" s="120"/>
      <c r="AW99" s="121"/>
      <c r="AY99" s="34"/>
    </row>
    <row r="100" spans="3:59" ht="11.1" customHeight="1" x14ac:dyDescent="0.2">
      <c r="C100" s="29"/>
      <c r="D100" s="59"/>
      <c r="F100" s="69"/>
      <c r="G100" s="119"/>
      <c r="H100" s="120"/>
      <c r="I100" s="120"/>
      <c r="J100" s="120"/>
      <c r="K100" s="120"/>
      <c r="L100" s="120"/>
      <c r="M100" s="120"/>
      <c r="N100" s="120"/>
      <c r="O100" s="120"/>
      <c r="P100" s="120"/>
      <c r="Q100" s="120"/>
      <c r="R100" s="120"/>
      <c r="S100" s="120"/>
      <c r="T100" s="120"/>
      <c r="U100" s="120"/>
      <c r="V100" s="120"/>
      <c r="W100" s="120"/>
      <c r="X100" s="120"/>
      <c r="Y100" s="120"/>
      <c r="Z100" s="120"/>
      <c r="AA100" s="121"/>
      <c r="AB100" s="44"/>
      <c r="AC100" s="119"/>
      <c r="AD100" s="120"/>
      <c r="AE100" s="120"/>
      <c r="AF100" s="120"/>
      <c r="AG100" s="120"/>
      <c r="AH100" s="120"/>
      <c r="AI100" s="120"/>
      <c r="AJ100" s="120"/>
      <c r="AK100" s="120"/>
      <c r="AL100" s="120"/>
      <c r="AM100" s="120"/>
      <c r="AN100" s="120"/>
      <c r="AO100" s="120"/>
      <c r="AP100" s="120"/>
      <c r="AQ100" s="120"/>
      <c r="AR100" s="120"/>
      <c r="AS100" s="120"/>
      <c r="AT100" s="120"/>
      <c r="AU100" s="120"/>
      <c r="AV100" s="120"/>
      <c r="AW100" s="121"/>
      <c r="AY100" s="34"/>
      <c r="BG100" s="98"/>
    </row>
    <row r="101" spans="3:59" ht="11.1" customHeight="1" x14ac:dyDescent="0.2">
      <c r="C101" s="29"/>
      <c r="D101" s="59"/>
      <c r="F101" s="69"/>
      <c r="G101" s="119"/>
      <c r="H101" s="120"/>
      <c r="I101" s="120"/>
      <c r="J101" s="120"/>
      <c r="K101" s="120"/>
      <c r="L101" s="120"/>
      <c r="M101" s="120"/>
      <c r="N101" s="120"/>
      <c r="O101" s="120"/>
      <c r="P101" s="120"/>
      <c r="Q101" s="120"/>
      <c r="R101" s="120"/>
      <c r="S101" s="120"/>
      <c r="T101" s="120"/>
      <c r="U101" s="120"/>
      <c r="V101" s="120"/>
      <c r="W101" s="120"/>
      <c r="X101" s="120"/>
      <c r="Y101" s="120"/>
      <c r="Z101" s="120"/>
      <c r="AA101" s="121"/>
      <c r="AB101" s="44"/>
      <c r="AC101" s="119"/>
      <c r="AD101" s="120"/>
      <c r="AE101" s="120"/>
      <c r="AF101" s="120"/>
      <c r="AG101" s="120"/>
      <c r="AH101" s="120"/>
      <c r="AI101" s="120"/>
      <c r="AJ101" s="120"/>
      <c r="AK101" s="120"/>
      <c r="AL101" s="120"/>
      <c r="AM101" s="120"/>
      <c r="AN101" s="120"/>
      <c r="AO101" s="120"/>
      <c r="AP101" s="120"/>
      <c r="AQ101" s="120"/>
      <c r="AR101" s="120"/>
      <c r="AS101" s="120"/>
      <c r="AT101" s="120"/>
      <c r="AU101" s="120"/>
      <c r="AV101" s="120"/>
      <c r="AW101" s="121"/>
      <c r="AY101" s="34"/>
      <c r="BB101" s="98"/>
      <c r="BG101" s="98"/>
    </row>
    <row r="102" spans="3:59" ht="11.1" customHeight="1" x14ac:dyDescent="0.2">
      <c r="C102" s="29"/>
      <c r="D102" s="59"/>
      <c r="F102" s="69"/>
      <c r="G102" s="119"/>
      <c r="H102" s="120"/>
      <c r="I102" s="120"/>
      <c r="J102" s="120"/>
      <c r="K102" s="120"/>
      <c r="L102" s="120"/>
      <c r="M102" s="120"/>
      <c r="N102" s="120"/>
      <c r="O102" s="120"/>
      <c r="P102" s="120"/>
      <c r="Q102" s="120"/>
      <c r="R102" s="120"/>
      <c r="S102" s="120"/>
      <c r="T102" s="120"/>
      <c r="U102" s="120"/>
      <c r="V102" s="120"/>
      <c r="W102" s="120"/>
      <c r="X102" s="120"/>
      <c r="Y102" s="120"/>
      <c r="Z102" s="120"/>
      <c r="AA102" s="121"/>
      <c r="AB102" s="44"/>
      <c r="AC102" s="119"/>
      <c r="AD102" s="120"/>
      <c r="AE102" s="120"/>
      <c r="AF102" s="120"/>
      <c r="AG102" s="120"/>
      <c r="AH102" s="120"/>
      <c r="AI102" s="120"/>
      <c r="AJ102" s="120"/>
      <c r="AK102" s="120"/>
      <c r="AL102" s="120"/>
      <c r="AM102" s="120"/>
      <c r="AN102" s="120"/>
      <c r="AO102" s="120"/>
      <c r="AP102" s="120"/>
      <c r="AQ102" s="120"/>
      <c r="AR102" s="120"/>
      <c r="AS102" s="120"/>
      <c r="AT102" s="120"/>
      <c r="AU102" s="120"/>
      <c r="AV102" s="120"/>
      <c r="AW102" s="121"/>
      <c r="AY102" s="34"/>
      <c r="BG102" s="100"/>
    </row>
    <row r="103" spans="3:59" ht="11.1" customHeight="1" x14ac:dyDescent="0.2">
      <c r="C103" s="29"/>
      <c r="D103" s="59"/>
      <c r="F103" s="69"/>
      <c r="G103" s="119"/>
      <c r="H103" s="120"/>
      <c r="I103" s="120"/>
      <c r="J103" s="120"/>
      <c r="K103" s="120"/>
      <c r="L103" s="120"/>
      <c r="M103" s="120"/>
      <c r="N103" s="120"/>
      <c r="O103" s="120"/>
      <c r="P103" s="120"/>
      <c r="Q103" s="120"/>
      <c r="R103" s="120"/>
      <c r="S103" s="120"/>
      <c r="T103" s="120"/>
      <c r="U103" s="120"/>
      <c r="V103" s="120"/>
      <c r="W103" s="120"/>
      <c r="X103" s="120"/>
      <c r="Y103" s="120"/>
      <c r="Z103" s="120"/>
      <c r="AA103" s="121"/>
      <c r="AB103" s="44"/>
      <c r="AC103" s="119"/>
      <c r="AD103" s="120"/>
      <c r="AE103" s="120"/>
      <c r="AF103" s="120"/>
      <c r="AG103" s="120"/>
      <c r="AH103" s="120"/>
      <c r="AI103" s="120"/>
      <c r="AJ103" s="120"/>
      <c r="AK103" s="120"/>
      <c r="AL103" s="120"/>
      <c r="AM103" s="120"/>
      <c r="AN103" s="120"/>
      <c r="AO103" s="120"/>
      <c r="AP103" s="120"/>
      <c r="AQ103" s="120"/>
      <c r="AR103" s="120"/>
      <c r="AS103" s="120"/>
      <c r="AT103" s="120"/>
      <c r="AU103" s="120"/>
      <c r="AV103" s="120"/>
      <c r="AW103" s="121"/>
      <c r="AY103" s="34"/>
    </row>
    <row r="104" spans="3:59" ht="11.1" customHeight="1" x14ac:dyDescent="0.2">
      <c r="C104" s="29"/>
      <c r="D104" s="59"/>
      <c r="F104" s="69"/>
      <c r="G104" s="119"/>
      <c r="H104" s="120"/>
      <c r="I104" s="120"/>
      <c r="J104" s="120"/>
      <c r="K104" s="120"/>
      <c r="L104" s="120"/>
      <c r="M104" s="120"/>
      <c r="N104" s="120"/>
      <c r="O104" s="120"/>
      <c r="P104" s="120"/>
      <c r="Q104" s="120"/>
      <c r="R104" s="120"/>
      <c r="S104" s="120"/>
      <c r="T104" s="120"/>
      <c r="U104" s="120"/>
      <c r="V104" s="120"/>
      <c r="W104" s="120"/>
      <c r="X104" s="120"/>
      <c r="Y104" s="120"/>
      <c r="Z104" s="120"/>
      <c r="AA104" s="121"/>
      <c r="AB104" s="44"/>
      <c r="AC104" s="119"/>
      <c r="AD104" s="120"/>
      <c r="AE104" s="120"/>
      <c r="AF104" s="120"/>
      <c r="AG104" s="120"/>
      <c r="AH104" s="120"/>
      <c r="AI104" s="120"/>
      <c r="AJ104" s="120"/>
      <c r="AK104" s="120"/>
      <c r="AL104" s="120"/>
      <c r="AM104" s="120"/>
      <c r="AN104" s="120"/>
      <c r="AO104" s="120"/>
      <c r="AP104" s="120"/>
      <c r="AQ104" s="120"/>
      <c r="AR104" s="120"/>
      <c r="AS104" s="120"/>
      <c r="AT104" s="120"/>
      <c r="AU104" s="120"/>
      <c r="AV104" s="120"/>
      <c r="AW104" s="121"/>
      <c r="AY104" s="34"/>
    </row>
    <row r="105" spans="3:59" ht="11.1" customHeight="1" x14ac:dyDescent="0.2">
      <c r="C105" s="29"/>
      <c r="D105" s="59"/>
      <c r="F105" s="69"/>
      <c r="G105" s="119"/>
      <c r="H105" s="120"/>
      <c r="I105" s="120"/>
      <c r="J105" s="120"/>
      <c r="K105" s="120"/>
      <c r="L105" s="120"/>
      <c r="M105" s="120"/>
      <c r="N105" s="120"/>
      <c r="O105" s="120"/>
      <c r="P105" s="120"/>
      <c r="Q105" s="120"/>
      <c r="R105" s="120"/>
      <c r="S105" s="120"/>
      <c r="T105" s="120"/>
      <c r="U105" s="120"/>
      <c r="V105" s="120"/>
      <c r="W105" s="120"/>
      <c r="X105" s="120"/>
      <c r="Y105" s="120"/>
      <c r="Z105" s="120"/>
      <c r="AA105" s="121"/>
      <c r="AB105" s="44"/>
      <c r="AC105" s="119"/>
      <c r="AD105" s="120"/>
      <c r="AE105" s="120"/>
      <c r="AF105" s="120"/>
      <c r="AG105" s="120"/>
      <c r="AH105" s="120"/>
      <c r="AI105" s="120"/>
      <c r="AJ105" s="120"/>
      <c r="AK105" s="120"/>
      <c r="AL105" s="120"/>
      <c r="AM105" s="120"/>
      <c r="AN105" s="120"/>
      <c r="AO105" s="120"/>
      <c r="AP105" s="120"/>
      <c r="AQ105" s="120"/>
      <c r="AR105" s="120"/>
      <c r="AS105" s="120"/>
      <c r="AT105" s="120"/>
      <c r="AU105" s="120"/>
      <c r="AV105" s="120"/>
      <c r="AW105" s="121"/>
      <c r="AY105" s="34"/>
    </row>
    <row r="106" spans="3:59" ht="11.1" customHeight="1" x14ac:dyDescent="0.2">
      <c r="C106" s="29"/>
      <c r="D106" s="59"/>
      <c r="F106" s="69"/>
      <c r="G106" s="119"/>
      <c r="H106" s="120"/>
      <c r="I106" s="120"/>
      <c r="J106" s="120"/>
      <c r="K106" s="120"/>
      <c r="L106" s="120"/>
      <c r="M106" s="120"/>
      <c r="N106" s="120"/>
      <c r="O106" s="120"/>
      <c r="P106" s="120"/>
      <c r="Q106" s="120"/>
      <c r="R106" s="120"/>
      <c r="S106" s="120"/>
      <c r="T106" s="120"/>
      <c r="U106" s="120"/>
      <c r="V106" s="120"/>
      <c r="W106" s="120"/>
      <c r="X106" s="120"/>
      <c r="Y106" s="120"/>
      <c r="Z106" s="120"/>
      <c r="AA106" s="121"/>
      <c r="AB106" s="44"/>
      <c r="AC106" s="119"/>
      <c r="AD106" s="120"/>
      <c r="AE106" s="120"/>
      <c r="AF106" s="120"/>
      <c r="AG106" s="120"/>
      <c r="AH106" s="120"/>
      <c r="AI106" s="120"/>
      <c r="AJ106" s="120"/>
      <c r="AK106" s="120"/>
      <c r="AL106" s="120"/>
      <c r="AM106" s="120"/>
      <c r="AN106" s="120"/>
      <c r="AO106" s="120"/>
      <c r="AP106" s="120"/>
      <c r="AQ106" s="120"/>
      <c r="AR106" s="120"/>
      <c r="AS106" s="120"/>
      <c r="AT106" s="120"/>
      <c r="AU106" s="120"/>
      <c r="AV106" s="120"/>
      <c r="AW106" s="121"/>
      <c r="AY106" s="34"/>
    </row>
    <row r="107" spans="3:59" ht="11.1" customHeight="1" x14ac:dyDescent="0.2">
      <c r="C107" s="29"/>
      <c r="D107" s="59"/>
      <c r="F107" s="69"/>
      <c r="G107" s="119"/>
      <c r="H107" s="120"/>
      <c r="I107" s="120"/>
      <c r="J107" s="120"/>
      <c r="K107" s="120"/>
      <c r="L107" s="120"/>
      <c r="M107" s="120"/>
      <c r="N107" s="120"/>
      <c r="O107" s="120"/>
      <c r="P107" s="120"/>
      <c r="Q107" s="120"/>
      <c r="R107" s="120"/>
      <c r="S107" s="120"/>
      <c r="T107" s="120"/>
      <c r="U107" s="120"/>
      <c r="V107" s="120"/>
      <c r="W107" s="120"/>
      <c r="X107" s="120"/>
      <c r="Y107" s="120"/>
      <c r="Z107" s="120"/>
      <c r="AA107" s="121"/>
      <c r="AB107" s="44"/>
      <c r="AC107" s="119"/>
      <c r="AD107" s="120"/>
      <c r="AE107" s="120"/>
      <c r="AF107" s="120"/>
      <c r="AG107" s="120"/>
      <c r="AH107" s="120"/>
      <c r="AI107" s="120"/>
      <c r="AJ107" s="120"/>
      <c r="AK107" s="120"/>
      <c r="AL107" s="120"/>
      <c r="AM107" s="120"/>
      <c r="AN107" s="120"/>
      <c r="AO107" s="120"/>
      <c r="AP107" s="120"/>
      <c r="AQ107" s="120"/>
      <c r="AR107" s="120"/>
      <c r="AS107" s="120"/>
      <c r="AT107" s="120"/>
      <c r="AU107" s="120"/>
      <c r="AV107" s="120"/>
      <c r="AW107" s="121"/>
      <c r="AY107" s="34"/>
    </row>
    <row r="108" spans="3:59" ht="11.1" customHeight="1" x14ac:dyDescent="0.2">
      <c r="C108" s="29"/>
      <c r="D108" s="59"/>
      <c r="F108" s="69"/>
      <c r="G108" s="119"/>
      <c r="H108" s="120"/>
      <c r="I108" s="120"/>
      <c r="J108" s="120"/>
      <c r="K108" s="120"/>
      <c r="L108" s="120"/>
      <c r="M108" s="120"/>
      <c r="N108" s="120"/>
      <c r="O108" s="120"/>
      <c r="P108" s="120"/>
      <c r="Q108" s="120"/>
      <c r="R108" s="120"/>
      <c r="S108" s="120"/>
      <c r="T108" s="120"/>
      <c r="U108" s="120"/>
      <c r="V108" s="120"/>
      <c r="W108" s="120"/>
      <c r="X108" s="120"/>
      <c r="Y108" s="120"/>
      <c r="Z108" s="120"/>
      <c r="AA108" s="121"/>
      <c r="AB108" s="44"/>
      <c r="AC108" s="119"/>
      <c r="AD108" s="120"/>
      <c r="AE108" s="120"/>
      <c r="AF108" s="120"/>
      <c r="AG108" s="120"/>
      <c r="AH108" s="120"/>
      <c r="AI108" s="120"/>
      <c r="AJ108" s="120"/>
      <c r="AK108" s="120"/>
      <c r="AL108" s="120"/>
      <c r="AM108" s="120"/>
      <c r="AN108" s="120"/>
      <c r="AO108" s="120"/>
      <c r="AP108" s="120"/>
      <c r="AQ108" s="120"/>
      <c r="AR108" s="120"/>
      <c r="AS108" s="120"/>
      <c r="AT108" s="120"/>
      <c r="AU108" s="120"/>
      <c r="AV108" s="120"/>
      <c r="AW108" s="121"/>
      <c r="AY108" s="34"/>
    </row>
    <row r="109" spans="3:59" ht="11.1" customHeight="1" x14ac:dyDescent="0.2">
      <c r="C109" s="29"/>
      <c r="D109" s="59"/>
      <c r="F109" s="69"/>
      <c r="G109" s="119"/>
      <c r="H109" s="120"/>
      <c r="I109" s="120"/>
      <c r="J109" s="120"/>
      <c r="K109" s="120"/>
      <c r="L109" s="120"/>
      <c r="M109" s="120"/>
      <c r="N109" s="120"/>
      <c r="O109" s="120"/>
      <c r="P109" s="120"/>
      <c r="Q109" s="120"/>
      <c r="R109" s="120"/>
      <c r="S109" s="120"/>
      <c r="T109" s="120"/>
      <c r="U109" s="120"/>
      <c r="V109" s="120"/>
      <c r="W109" s="120"/>
      <c r="X109" s="120"/>
      <c r="Y109" s="120"/>
      <c r="Z109" s="120"/>
      <c r="AA109" s="121"/>
      <c r="AB109" s="44"/>
      <c r="AC109" s="119"/>
      <c r="AD109" s="120"/>
      <c r="AE109" s="120"/>
      <c r="AF109" s="120"/>
      <c r="AG109" s="120"/>
      <c r="AH109" s="120"/>
      <c r="AI109" s="120"/>
      <c r="AJ109" s="120"/>
      <c r="AK109" s="120"/>
      <c r="AL109" s="120"/>
      <c r="AM109" s="120"/>
      <c r="AN109" s="120"/>
      <c r="AO109" s="120"/>
      <c r="AP109" s="120"/>
      <c r="AQ109" s="120"/>
      <c r="AR109" s="120"/>
      <c r="AS109" s="120"/>
      <c r="AT109" s="120"/>
      <c r="AU109" s="120"/>
      <c r="AV109" s="120"/>
      <c r="AW109" s="121"/>
      <c r="AY109" s="34"/>
    </row>
    <row r="110" spans="3:59" ht="11.1" customHeight="1" x14ac:dyDescent="0.2">
      <c r="C110" s="29"/>
      <c r="D110" s="59"/>
      <c r="F110" s="69"/>
      <c r="G110" s="119"/>
      <c r="H110" s="120"/>
      <c r="I110" s="120"/>
      <c r="J110" s="120"/>
      <c r="K110" s="120"/>
      <c r="L110" s="120"/>
      <c r="M110" s="120"/>
      <c r="N110" s="120"/>
      <c r="O110" s="120"/>
      <c r="P110" s="120"/>
      <c r="Q110" s="120"/>
      <c r="R110" s="120"/>
      <c r="S110" s="120"/>
      <c r="T110" s="120"/>
      <c r="U110" s="120"/>
      <c r="V110" s="120"/>
      <c r="W110" s="120"/>
      <c r="X110" s="120"/>
      <c r="Y110" s="120"/>
      <c r="Z110" s="120"/>
      <c r="AA110" s="121"/>
      <c r="AB110" s="44"/>
      <c r="AC110" s="119"/>
      <c r="AD110" s="120"/>
      <c r="AE110" s="120"/>
      <c r="AF110" s="120"/>
      <c r="AG110" s="120"/>
      <c r="AH110" s="120"/>
      <c r="AI110" s="120"/>
      <c r="AJ110" s="120"/>
      <c r="AK110" s="120"/>
      <c r="AL110" s="120"/>
      <c r="AM110" s="120"/>
      <c r="AN110" s="120"/>
      <c r="AO110" s="120"/>
      <c r="AP110" s="120"/>
      <c r="AQ110" s="120"/>
      <c r="AR110" s="120"/>
      <c r="AS110" s="120"/>
      <c r="AT110" s="120"/>
      <c r="AU110" s="120"/>
      <c r="AV110" s="120"/>
      <c r="AW110" s="121"/>
      <c r="AY110" s="34"/>
    </row>
    <row r="111" spans="3:59" ht="11.1" customHeight="1" x14ac:dyDescent="0.2">
      <c r="C111" s="29"/>
      <c r="D111" s="59"/>
      <c r="F111" s="69"/>
      <c r="G111" s="122"/>
      <c r="H111" s="123"/>
      <c r="I111" s="123"/>
      <c r="J111" s="123"/>
      <c r="K111" s="123"/>
      <c r="L111" s="123"/>
      <c r="M111" s="123"/>
      <c r="N111" s="123"/>
      <c r="O111" s="123"/>
      <c r="P111" s="123"/>
      <c r="Q111" s="123"/>
      <c r="R111" s="123"/>
      <c r="S111" s="123"/>
      <c r="T111" s="123"/>
      <c r="U111" s="123"/>
      <c r="V111" s="123"/>
      <c r="W111" s="123"/>
      <c r="X111" s="123"/>
      <c r="Y111" s="123"/>
      <c r="Z111" s="123"/>
      <c r="AA111" s="124"/>
      <c r="AB111" s="44"/>
      <c r="AC111" s="122"/>
      <c r="AD111" s="123"/>
      <c r="AE111" s="123"/>
      <c r="AF111" s="123"/>
      <c r="AG111" s="123"/>
      <c r="AH111" s="123"/>
      <c r="AI111" s="123"/>
      <c r="AJ111" s="123"/>
      <c r="AK111" s="123"/>
      <c r="AL111" s="123"/>
      <c r="AM111" s="123"/>
      <c r="AN111" s="123"/>
      <c r="AO111" s="123"/>
      <c r="AP111" s="123"/>
      <c r="AQ111" s="123"/>
      <c r="AR111" s="123"/>
      <c r="AS111" s="123"/>
      <c r="AT111" s="123"/>
      <c r="AU111" s="123"/>
      <c r="AV111" s="123"/>
      <c r="AW111" s="124"/>
      <c r="AY111" s="34"/>
    </row>
    <row r="112" spans="3:59" ht="11.1" customHeight="1" x14ac:dyDescent="0.2">
      <c r="C112" s="29"/>
      <c r="D112" s="59"/>
      <c r="F112" s="69"/>
      <c r="G112" s="116"/>
      <c r="H112" s="117"/>
      <c r="I112" s="117"/>
      <c r="J112" s="117"/>
      <c r="K112" s="117"/>
      <c r="L112" s="117"/>
      <c r="M112" s="117"/>
      <c r="N112" s="117"/>
      <c r="O112" s="117"/>
      <c r="P112" s="117"/>
      <c r="Q112" s="117"/>
      <c r="R112" s="117"/>
      <c r="S112" s="117"/>
      <c r="T112" s="117"/>
      <c r="U112" s="117"/>
      <c r="V112" s="117"/>
      <c r="W112" s="117"/>
      <c r="X112" s="117"/>
      <c r="Y112" s="117"/>
      <c r="Z112" s="117"/>
      <c r="AA112" s="118"/>
      <c r="AB112" s="44"/>
      <c r="AC112" s="116"/>
      <c r="AD112" s="117"/>
      <c r="AE112" s="117"/>
      <c r="AF112" s="117"/>
      <c r="AG112" s="117"/>
      <c r="AH112" s="117"/>
      <c r="AI112" s="117"/>
      <c r="AJ112" s="117"/>
      <c r="AK112" s="117"/>
      <c r="AL112" s="117"/>
      <c r="AM112" s="117"/>
      <c r="AN112" s="117"/>
      <c r="AO112" s="117"/>
      <c r="AP112" s="117"/>
      <c r="AQ112" s="117"/>
      <c r="AR112" s="117"/>
      <c r="AS112" s="117"/>
      <c r="AT112" s="117"/>
      <c r="AU112" s="117"/>
      <c r="AV112" s="117"/>
      <c r="AW112" s="118"/>
      <c r="AY112" s="34"/>
    </row>
    <row r="113" spans="3:51" ht="11.1" customHeight="1" x14ac:dyDescent="0.2">
      <c r="C113" s="29"/>
      <c r="D113" s="59"/>
      <c r="F113" s="69"/>
      <c r="G113" s="119"/>
      <c r="H113" s="120"/>
      <c r="I113" s="120"/>
      <c r="J113" s="120"/>
      <c r="K113" s="120"/>
      <c r="L113" s="120"/>
      <c r="M113" s="120"/>
      <c r="N113" s="120"/>
      <c r="O113" s="120"/>
      <c r="P113" s="120"/>
      <c r="Q113" s="120"/>
      <c r="R113" s="120"/>
      <c r="S113" s="120"/>
      <c r="T113" s="120"/>
      <c r="U113" s="120"/>
      <c r="V113" s="120"/>
      <c r="W113" s="120"/>
      <c r="X113" s="120"/>
      <c r="Y113" s="120"/>
      <c r="Z113" s="120"/>
      <c r="AA113" s="121"/>
      <c r="AB113" s="44"/>
      <c r="AC113" s="119"/>
      <c r="AD113" s="120"/>
      <c r="AE113" s="120"/>
      <c r="AF113" s="120"/>
      <c r="AG113" s="120"/>
      <c r="AH113" s="120"/>
      <c r="AI113" s="120"/>
      <c r="AJ113" s="120"/>
      <c r="AK113" s="120"/>
      <c r="AL113" s="120"/>
      <c r="AM113" s="120"/>
      <c r="AN113" s="120"/>
      <c r="AO113" s="120"/>
      <c r="AP113" s="120"/>
      <c r="AQ113" s="120"/>
      <c r="AR113" s="120"/>
      <c r="AS113" s="120"/>
      <c r="AT113" s="120"/>
      <c r="AU113" s="120"/>
      <c r="AV113" s="120"/>
      <c r="AW113" s="121"/>
      <c r="AY113" s="34"/>
    </row>
    <row r="114" spans="3:51" ht="11.1" customHeight="1" x14ac:dyDescent="0.2">
      <c r="C114" s="29"/>
      <c r="D114" s="59"/>
      <c r="F114" s="69"/>
      <c r="G114" s="119"/>
      <c r="H114" s="120"/>
      <c r="I114" s="120"/>
      <c r="J114" s="120"/>
      <c r="K114" s="120"/>
      <c r="L114" s="120"/>
      <c r="M114" s="120"/>
      <c r="N114" s="120"/>
      <c r="O114" s="120"/>
      <c r="P114" s="120"/>
      <c r="Q114" s="120"/>
      <c r="R114" s="120"/>
      <c r="S114" s="120"/>
      <c r="T114" s="120"/>
      <c r="U114" s="120"/>
      <c r="V114" s="120"/>
      <c r="W114" s="120"/>
      <c r="X114" s="120"/>
      <c r="Y114" s="120"/>
      <c r="Z114" s="120"/>
      <c r="AA114" s="121"/>
      <c r="AB114" s="44"/>
      <c r="AC114" s="119"/>
      <c r="AD114" s="120"/>
      <c r="AE114" s="120"/>
      <c r="AF114" s="120"/>
      <c r="AG114" s="120"/>
      <c r="AH114" s="120"/>
      <c r="AI114" s="120"/>
      <c r="AJ114" s="120"/>
      <c r="AK114" s="120"/>
      <c r="AL114" s="120"/>
      <c r="AM114" s="120"/>
      <c r="AN114" s="120"/>
      <c r="AO114" s="120"/>
      <c r="AP114" s="120"/>
      <c r="AQ114" s="120"/>
      <c r="AR114" s="120"/>
      <c r="AS114" s="120"/>
      <c r="AT114" s="120"/>
      <c r="AU114" s="120"/>
      <c r="AV114" s="120"/>
      <c r="AW114" s="121"/>
      <c r="AY114" s="34"/>
    </row>
    <row r="115" spans="3:51" ht="11.1" customHeight="1" x14ac:dyDescent="0.2">
      <c r="C115" s="29"/>
      <c r="D115" s="59"/>
      <c r="F115" s="69"/>
      <c r="G115" s="119"/>
      <c r="H115" s="120"/>
      <c r="I115" s="120"/>
      <c r="J115" s="120"/>
      <c r="K115" s="120"/>
      <c r="L115" s="120"/>
      <c r="M115" s="120"/>
      <c r="N115" s="120"/>
      <c r="O115" s="120"/>
      <c r="P115" s="120"/>
      <c r="Q115" s="120"/>
      <c r="R115" s="120"/>
      <c r="S115" s="120"/>
      <c r="T115" s="120"/>
      <c r="U115" s="120"/>
      <c r="V115" s="120"/>
      <c r="W115" s="120"/>
      <c r="X115" s="120"/>
      <c r="Y115" s="120"/>
      <c r="Z115" s="120"/>
      <c r="AA115" s="121"/>
      <c r="AB115" s="44"/>
      <c r="AC115" s="119"/>
      <c r="AD115" s="120"/>
      <c r="AE115" s="120"/>
      <c r="AF115" s="120"/>
      <c r="AG115" s="120"/>
      <c r="AH115" s="120"/>
      <c r="AI115" s="120"/>
      <c r="AJ115" s="120"/>
      <c r="AK115" s="120"/>
      <c r="AL115" s="120"/>
      <c r="AM115" s="120"/>
      <c r="AN115" s="120"/>
      <c r="AO115" s="120"/>
      <c r="AP115" s="120"/>
      <c r="AQ115" s="120"/>
      <c r="AR115" s="120"/>
      <c r="AS115" s="120"/>
      <c r="AT115" s="120"/>
      <c r="AU115" s="120"/>
      <c r="AV115" s="120"/>
      <c r="AW115" s="121"/>
      <c r="AY115" s="34"/>
    </row>
    <row r="116" spans="3:51" ht="11.1" customHeight="1" x14ac:dyDescent="0.2">
      <c r="C116" s="29"/>
      <c r="D116" s="59"/>
      <c r="F116" s="69"/>
      <c r="G116" s="119"/>
      <c r="H116" s="120"/>
      <c r="I116" s="120"/>
      <c r="J116" s="120"/>
      <c r="K116" s="120"/>
      <c r="L116" s="120"/>
      <c r="M116" s="120"/>
      <c r="N116" s="120"/>
      <c r="O116" s="120"/>
      <c r="P116" s="120"/>
      <c r="Q116" s="120"/>
      <c r="R116" s="120"/>
      <c r="S116" s="120"/>
      <c r="T116" s="120"/>
      <c r="U116" s="120"/>
      <c r="V116" s="120"/>
      <c r="W116" s="120"/>
      <c r="X116" s="120"/>
      <c r="Y116" s="120"/>
      <c r="Z116" s="120"/>
      <c r="AA116" s="121"/>
      <c r="AB116" s="44"/>
      <c r="AC116" s="119"/>
      <c r="AD116" s="120"/>
      <c r="AE116" s="120"/>
      <c r="AF116" s="120"/>
      <c r="AG116" s="120"/>
      <c r="AH116" s="120"/>
      <c r="AI116" s="120"/>
      <c r="AJ116" s="120"/>
      <c r="AK116" s="120"/>
      <c r="AL116" s="120"/>
      <c r="AM116" s="120"/>
      <c r="AN116" s="120"/>
      <c r="AO116" s="120"/>
      <c r="AP116" s="120"/>
      <c r="AQ116" s="120"/>
      <c r="AR116" s="120"/>
      <c r="AS116" s="120"/>
      <c r="AT116" s="120"/>
      <c r="AU116" s="120"/>
      <c r="AV116" s="120"/>
      <c r="AW116" s="121"/>
      <c r="AY116" s="34"/>
    </row>
    <row r="117" spans="3:51" ht="11.1" customHeight="1" x14ac:dyDescent="0.2">
      <c r="C117" s="29"/>
      <c r="D117" s="59"/>
      <c r="F117" s="69"/>
      <c r="G117" s="119"/>
      <c r="H117" s="120"/>
      <c r="I117" s="120"/>
      <c r="J117" s="120"/>
      <c r="K117" s="120"/>
      <c r="L117" s="120"/>
      <c r="M117" s="120"/>
      <c r="N117" s="120"/>
      <c r="O117" s="120"/>
      <c r="P117" s="120"/>
      <c r="Q117" s="120"/>
      <c r="R117" s="120"/>
      <c r="S117" s="120"/>
      <c r="T117" s="120"/>
      <c r="U117" s="120"/>
      <c r="V117" s="120"/>
      <c r="W117" s="120"/>
      <c r="X117" s="120"/>
      <c r="Y117" s="120"/>
      <c r="Z117" s="120"/>
      <c r="AA117" s="121"/>
      <c r="AB117" s="44"/>
      <c r="AC117" s="119"/>
      <c r="AD117" s="120"/>
      <c r="AE117" s="120"/>
      <c r="AF117" s="120"/>
      <c r="AG117" s="120"/>
      <c r="AH117" s="120"/>
      <c r="AI117" s="120"/>
      <c r="AJ117" s="120"/>
      <c r="AK117" s="120"/>
      <c r="AL117" s="120"/>
      <c r="AM117" s="120"/>
      <c r="AN117" s="120"/>
      <c r="AO117" s="120"/>
      <c r="AP117" s="120"/>
      <c r="AQ117" s="120"/>
      <c r="AR117" s="120"/>
      <c r="AS117" s="120"/>
      <c r="AT117" s="120"/>
      <c r="AU117" s="120"/>
      <c r="AV117" s="120"/>
      <c r="AW117" s="121"/>
      <c r="AY117" s="34"/>
    </row>
    <row r="118" spans="3:51" ht="11.1" customHeight="1" x14ac:dyDescent="0.2">
      <c r="C118" s="29"/>
      <c r="D118" s="59"/>
      <c r="F118" s="69"/>
      <c r="G118" s="119"/>
      <c r="H118" s="120"/>
      <c r="I118" s="120"/>
      <c r="J118" s="120"/>
      <c r="K118" s="120"/>
      <c r="L118" s="120"/>
      <c r="M118" s="120"/>
      <c r="N118" s="120"/>
      <c r="O118" s="120"/>
      <c r="P118" s="120"/>
      <c r="Q118" s="120"/>
      <c r="R118" s="120"/>
      <c r="S118" s="120"/>
      <c r="T118" s="120"/>
      <c r="U118" s="120"/>
      <c r="V118" s="120"/>
      <c r="W118" s="120"/>
      <c r="X118" s="120"/>
      <c r="Y118" s="120"/>
      <c r="Z118" s="120"/>
      <c r="AA118" s="121"/>
      <c r="AB118" s="44"/>
      <c r="AC118" s="119"/>
      <c r="AD118" s="120"/>
      <c r="AE118" s="120"/>
      <c r="AF118" s="120"/>
      <c r="AG118" s="120"/>
      <c r="AH118" s="120"/>
      <c r="AI118" s="120"/>
      <c r="AJ118" s="120"/>
      <c r="AK118" s="120"/>
      <c r="AL118" s="120"/>
      <c r="AM118" s="120"/>
      <c r="AN118" s="120"/>
      <c r="AO118" s="120"/>
      <c r="AP118" s="120"/>
      <c r="AQ118" s="120"/>
      <c r="AR118" s="120"/>
      <c r="AS118" s="120"/>
      <c r="AT118" s="120"/>
      <c r="AU118" s="120"/>
      <c r="AV118" s="120"/>
      <c r="AW118" s="121"/>
      <c r="AY118" s="34"/>
    </row>
    <row r="119" spans="3:51" ht="11.1" customHeight="1" x14ac:dyDescent="0.2">
      <c r="C119" s="29"/>
      <c r="D119" s="59"/>
      <c r="F119" s="69"/>
      <c r="G119" s="119"/>
      <c r="H119" s="120"/>
      <c r="I119" s="120"/>
      <c r="J119" s="120"/>
      <c r="K119" s="120"/>
      <c r="L119" s="120"/>
      <c r="M119" s="120"/>
      <c r="N119" s="120"/>
      <c r="O119" s="120"/>
      <c r="P119" s="120"/>
      <c r="Q119" s="120"/>
      <c r="R119" s="120"/>
      <c r="S119" s="120"/>
      <c r="T119" s="120"/>
      <c r="U119" s="120"/>
      <c r="V119" s="120"/>
      <c r="W119" s="120"/>
      <c r="X119" s="120"/>
      <c r="Y119" s="120"/>
      <c r="Z119" s="120"/>
      <c r="AA119" s="121"/>
      <c r="AB119" s="44"/>
      <c r="AC119" s="119"/>
      <c r="AD119" s="120"/>
      <c r="AE119" s="120"/>
      <c r="AF119" s="120"/>
      <c r="AG119" s="120"/>
      <c r="AH119" s="120"/>
      <c r="AI119" s="120"/>
      <c r="AJ119" s="120"/>
      <c r="AK119" s="120"/>
      <c r="AL119" s="120"/>
      <c r="AM119" s="120"/>
      <c r="AN119" s="120"/>
      <c r="AO119" s="120"/>
      <c r="AP119" s="120"/>
      <c r="AQ119" s="120"/>
      <c r="AR119" s="120"/>
      <c r="AS119" s="120"/>
      <c r="AT119" s="120"/>
      <c r="AU119" s="120"/>
      <c r="AV119" s="120"/>
      <c r="AW119" s="121"/>
      <c r="AY119" s="34"/>
    </row>
    <row r="120" spans="3:51" ht="11.1" customHeight="1" x14ac:dyDescent="0.2">
      <c r="C120" s="29"/>
      <c r="D120" s="59"/>
      <c r="F120" s="69"/>
      <c r="G120" s="119"/>
      <c r="H120" s="120"/>
      <c r="I120" s="120"/>
      <c r="J120" s="120"/>
      <c r="K120" s="120"/>
      <c r="L120" s="120"/>
      <c r="M120" s="120"/>
      <c r="N120" s="120"/>
      <c r="O120" s="120"/>
      <c r="P120" s="120"/>
      <c r="Q120" s="120"/>
      <c r="R120" s="120"/>
      <c r="S120" s="120"/>
      <c r="T120" s="120"/>
      <c r="U120" s="120"/>
      <c r="V120" s="120"/>
      <c r="W120" s="120"/>
      <c r="X120" s="120"/>
      <c r="Y120" s="120"/>
      <c r="Z120" s="120"/>
      <c r="AA120" s="121"/>
      <c r="AB120" s="44"/>
      <c r="AC120" s="119"/>
      <c r="AD120" s="120"/>
      <c r="AE120" s="120"/>
      <c r="AF120" s="120"/>
      <c r="AG120" s="120"/>
      <c r="AH120" s="120"/>
      <c r="AI120" s="120"/>
      <c r="AJ120" s="120"/>
      <c r="AK120" s="120"/>
      <c r="AL120" s="120"/>
      <c r="AM120" s="120"/>
      <c r="AN120" s="120"/>
      <c r="AO120" s="120"/>
      <c r="AP120" s="120"/>
      <c r="AQ120" s="120"/>
      <c r="AR120" s="120"/>
      <c r="AS120" s="120"/>
      <c r="AT120" s="120"/>
      <c r="AU120" s="120"/>
      <c r="AV120" s="120"/>
      <c r="AW120" s="121"/>
      <c r="AY120" s="34"/>
    </row>
    <row r="121" spans="3:51" ht="11.1" customHeight="1" x14ac:dyDescent="0.2">
      <c r="C121" s="29"/>
      <c r="D121" s="59"/>
      <c r="F121" s="69"/>
      <c r="G121" s="119"/>
      <c r="H121" s="120"/>
      <c r="I121" s="120"/>
      <c r="J121" s="120"/>
      <c r="K121" s="120"/>
      <c r="L121" s="120"/>
      <c r="M121" s="120"/>
      <c r="N121" s="120"/>
      <c r="O121" s="120"/>
      <c r="P121" s="120"/>
      <c r="Q121" s="120"/>
      <c r="R121" s="120"/>
      <c r="S121" s="120"/>
      <c r="T121" s="120"/>
      <c r="U121" s="120"/>
      <c r="V121" s="120"/>
      <c r="W121" s="120"/>
      <c r="X121" s="120"/>
      <c r="Y121" s="120"/>
      <c r="Z121" s="120"/>
      <c r="AA121" s="121"/>
      <c r="AB121" s="44"/>
      <c r="AC121" s="119"/>
      <c r="AD121" s="120"/>
      <c r="AE121" s="120"/>
      <c r="AF121" s="120"/>
      <c r="AG121" s="120"/>
      <c r="AH121" s="120"/>
      <c r="AI121" s="120"/>
      <c r="AJ121" s="120"/>
      <c r="AK121" s="120"/>
      <c r="AL121" s="120"/>
      <c r="AM121" s="120"/>
      <c r="AN121" s="120"/>
      <c r="AO121" s="120"/>
      <c r="AP121" s="120"/>
      <c r="AQ121" s="120"/>
      <c r="AR121" s="120"/>
      <c r="AS121" s="120"/>
      <c r="AT121" s="120"/>
      <c r="AU121" s="120"/>
      <c r="AV121" s="120"/>
      <c r="AW121" s="121"/>
      <c r="AY121" s="34"/>
    </row>
    <row r="122" spans="3:51" ht="11.1" customHeight="1" x14ac:dyDescent="0.2">
      <c r="C122" s="29"/>
      <c r="D122" s="59"/>
      <c r="F122" s="69"/>
      <c r="G122" s="119"/>
      <c r="H122" s="120"/>
      <c r="I122" s="120"/>
      <c r="J122" s="120"/>
      <c r="K122" s="120"/>
      <c r="L122" s="120"/>
      <c r="M122" s="120"/>
      <c r="N122" s="120"/>
      <c r="O122" s="120"/>
      <c r="P122" s="120"/>
      <c r="Q122" s="120"/>
      <c r="R122" s="120"/>
      <c r="S122" s="120"/>
      <c r="T122" s="120"/>
      <c r="U122" s="120"/>
      <c r="V122" s="120"/>
      <c r="W122" s="120"/>
      <c r="X122" s="120"/>
      <c r="Y122" s="120"/>
      <c r="Z122" s="120"/>
      <c r="AA122" s="121"/>
      <c r="AB122" s="44"/>
      <c r="AC122" s="119"/>
      <c r="AD122" s="120"/>
      <c r="AE122" s="120"/>
      <c r="AF122" s="120"/>
      <c r="AG122" s="120"/>
      <c r="AH122" s="120"/>
      <c r="AI122" s="120"/>
      <c r="AJ122" s="120"/>
      <c r="AK122" s="120"/>
      <c r="AL122" s="120"/>
      <c r="AM122" s="120"/>
      <c r="AN122" s="120"/>
      <c r="AO122" s="120"/>
      <c r="AP122" s="120"/>
      <c r="AQ122" s="120"/>
      <c r="AR122" s="120"/>
      <c r="AS122" s="120"/>
      <c r="AT122" s="120"/>
      <c r="AU122" s="120"/>
      <c r="AV122" s="120"/>
      <c r="AW122" s="121"/>
      <c r="AY122" s="34"/>
    </row>
    <row r="123" spans="3:51" ht="11.1" customHeight="1" x14ac:dyDescent="0.2">
      <c r="C123" s="29"/>
      <c r="D123" s="59"/>
      <c r="F123" s="69"/>
      <c r="G123" s="119"/>
      <c r="H123" s="120"/>
      <c r="I123" s="120"/>
      <c r="J123" s="120"/>
      <c r="K123" s="120"/>
      <c r="L123" s="120"/>
      <c r="M123" s="120"/>
      <c r="N123" s="120"/>
      <c r="O123" s="120"/>
      <c r="P123" s="120"/>
      <c r="Q123" s="120"/>
      <c r="R123" s="120"/>
      <c r="S123" s="120"/>
      <c r="T123" s="120"/>
      <c r="U123" s="120"/>
      <c r="V123" s="120"/>
      <c r="W123" s="120"/>
      <c r="X123" s="120"/>
      <c r="Y123" s="120"/>
      <c r="Z123" s="120"/>
      <c r="AA123" s="121"/>
      <c r="AB123" s="44"/>
      <c r="AC123" s="119"/>
      <c r="AD123" s="120"/>
      <c r="AE123" s="120"/>
      <c r="AF123" s="120"/>
      <c r="AG123" s="120"/>
      <c r="AH123" s="120"/>
      <c r="AI123" s="120"/>
      <c r="AJ123" s="120"/>
      <c r="AK123" s="120"/>
      <c r="AL123" s="120"/>
      <c r="AM123" s="120"/>
      <c r="AN123" s="120"/>
      <c r="AO123" s="120"/>
      <c r="AP123" s="120"/>
      <c r="AQ123" s="120"/>
      <c r="AR123" s="120"/>
      <c r="AS123" s="120"/>
      <c r="AT123" s="120"/>
      <c r="AU123" s="120"/>
      <c r="AV123" s="120"/>
      <c r="AW123" s="121"/>
      <c r="AY123" s="34"/>
    </row>
    <row r="124" spans="3:51" ht="11.1" customHeight="1" x14ac:dyDescent="0.2">
      <c r="C124" s="29"/>
      <c r="D124" s="59"/>
      <c r="F124" s="69"/>
      <c r="G124" s="119"/>
      <c r="H124" s="120"/>
      <c r="I124" s="120"/>
      <c r="J124" s="120"/>
      <c r="K124" s="120"/>
      <c r="L124" s="120"/>
      <c r="M124" s="120"/>
      <c r="N124" s="120"/>
      <c r="O124" s="120"/>
      <c r="P124" s="120"/>
      <c r="Q124" s="120"/>
      <c r="R124" s="120"/>
      <c r="S124" s="120"/>
      <c r="T124" s="120"/>
      <c r="U124" s="120"/>
      <c r="V124" s="120"/>
      <c r="W124" s="120"/>
      <c r="X124" s="120"/>
      <c r="Y124" s="120"/>
      <c r="Z124" s="120"/>
      <c r="AA124" s="121"/>
      <c r="AB124" s="44"/>
      <c r="AC124" s="119"/>
      <c r="AD124" s="120"/>
      <c r="AE124" s="120"/>
      <c r="AF124" s="120"/>
      <c r="AG124" s="120"/>
      <c r="AH124" s="120"/>
      <c r="AI124" s="120"/>
      <c r="AJ124" s="120"/>
      <c r="AK124" s="120"/>
      <c r="AL124" s="120"/>
      <c r="AM124" s="120"/>
      <c r="AN124" s="120"/>
      <c r="AO124" s="120"/>
      <c r="AP124" s="120"/>
      <c r="AQ124" s="120"/>
      <c r="AR124" s="120"/>
      <c r="AS124" s="120"/>
      <c r="AT124" s="120"/>
      <c r="AU124" s="120"/>
      <c r="AV124" s="120"/>
      <c r="AW124" s="121"/>
      <c r="AY124" s="34"/>
    </row>
    <row r="125" spans="3:51" ht="11.1" customHeight="1" x14ac:dyDescent="0.2">
      <c r="C125" s="29"/>
      <c r="D125" s="59"/>
      <c r="F125" s="69"/>
      <c r="G125" s="119"/>
      <c r="H125" s="120"/>
      <c r="I125" s="120"/>
      <c r="J125" s="120"/>
      <c r="K125" s="120"/>
      <c r="L125" s="120"/>
      <c r="M125" s="120"/>
      <c r="N125" s="120"/>
      <c r="O125" s="120"/>
      <c r="P125" s="120"/>
      <c r="Q125" s="120"/>
      <c r="R125" s="120"/>
      <c r="S125" s="120"/>
      <c r="T125" s="120"/>
      <c r="U125" s="120"/>
      <c r="V125" s="120"/>
      <c r="W125" s="120"/>
      <c r="X125" s="120"/>
      <c r="Y125" s="120"/>
      <c r="Z125" s="120"/>
      <c r="AA125" s="121"/>
      <c r="AB125" s="44"/>
      <c r="AC125" s="119"/>
      <c r="AD125" s="120"/>
      <c r="AE125" s="120"/>
      <c r="AF125" s="120"/>
      <c r="AG125" s="120"/>
      <c r="AH125" s="120"/>
      <c r="AI125" s="120"/>
      <c r="AJ125" s="120"/>
      <c r="AK125" s="120"/>
      <c r="AL125" s="120"/>
      <c r="AM125" s="120"/>
      <c r="AN125" s="120"/>
      <c r="AO125" s="120"/>
      <c r="AP125" s="120"/>
      <c r="AQ125" s="120"/>
      <c r="AR125" s="120"/>
      <c r="AS125" s="120"/>
      <c r="AT125" s="120"/>
      <c r="AU125" s="120"/>
      <c r="AV125" s="120"/>
      <c r="AW125" s="121"/>
      <c r="AY125" s="34"/>
    </row>
    <row r="126" spans="3:51" ht="11.1" customHeight="1" x14ac:dyDescent="0.2">
      <c r="C126" s="29"/>
      <c r="D126" s="59"/>
      <c r="F126" s="69"/>
      <c r="G126" s="119"/>
      <c r="H126" s="120"/>
      <c r="I126" s="120"/>
      <c r="J126" s="120"/>
      <c r="K126" s="120"/>
      <c r="L126" s="120"/>
      <c r="M126" s="120"/>
      <c r="N126" s="120"/>
      <c r="O126" s="120"/>
      <c r="P126" s="120"/>
      <c r="Q126" s="120"/>
      <c r="R126" s="120"/>
      <c r="S126" s="120"/>
      <c r="T126" s="120"/>
      <c r="U126" s="120"/>
      <c r="V126" s="120"/>
      <c r="W126" s="120"/>
      <c r="X126" s="120"/>
      <c r="Y126" s="120"/>
      <c r="Z126" s="120"/>
      <c r="AA126" s="121"/>
      <c r="AB126" s="44"/>
      <c r="AC126" s="119"/>
      <c r="AD126" s="120"/>
      <c r="AE126" s="120"/>
      <c r="AF126" s="120"/>
      <c r="AG126" s="120"/>
      <c r="AH126" s="120"/>
      <c r="AI126" s="120"/>
      <c r="AJ126" s="120"/>
      <c r="AK126" s="120"/>
      <c r="AL126" s="120"/>
      <c r="AM126" s="120"/>
      <c r="AN126" s="120"/>
      <c r="AO126" s="120"/>
      <c r="AP126" s="120"/>
      <c r="AQ126" s="120"/>
      <c r="AR126" s="120"/>
      <c r="AS126" s="120"/>
      <c r="AT126" s="120"/>
      <c r="AU126" s="120"/>
      <c r="AV126" s="120"/>
      <c r="AW126" s="121"/>
      <c r="AY126" s="34"/>
    </row>
    <row r="127" spans="3:51" ht="11.1" customHeight="1" x14ac:dyDescent="0.2">
      <c r="C127" s="29"/>
      <c r="D127" s="59"/>
      <c r="F127" s="69"/>
      <c r="G127" s="122"/>
      <c r="H127" s="123"/>
      <c r="I127" s="123"/>
      <c r="J127" s="123"/>
      <c r="K127" s="123"/>
      <c r="L127" s="123"/>
      <c r="M127" s="123"/>
      <c r="N127" s="123"/>
      <c r="O127" s="123"/>
      <c r="P127" s="123"/>
      <c r="Q127" s="123"/>
      <c r="R127" s="123"/>
      <c r="S127" s="123"/>
      <c r="T127" s="123"/>
      <c r="U127" s="123"/>
      <c r="V127" s="123"/>
      <c r="W127" s="123"/>
      <c r="X127" s="123"/>
      <c r="Y127" s="123"/>
      <c r="Z127" s="123"/>
      <c r="AA127" s="124"/>
      <c r="AB127" s="44"/>
      <c r="AC127" s="122"/>
      <c r="AD127" s="123"/>
      <c r="AE127" s="123"/>
      <c r="AF127" s="123"/>
      <c r="AG127" s="123"/>
      <c r="AH127" s="123"/>
      <c r="AI127" s="123"/>
      <c r="AJ127" s="123"/>
      <c r="AK127" s="123"/>
      <c r="AL127" s="123"/>
      <c r="AM127" s="123"/>
      <c r="AN127" s="123"/>
      <c r="AO127" s="123"/>
      <c r="AP127" s="123"/>
      <c r="AQ127" s="123"/>
      <c r="AR127" s="123"/>
      <c r="AS127" s="123"/>
      <c r="AT127" s="123"/>
      <c r="AU127" s="123"/>
      <c r="AV127" s="123"/>
      <c r="AW127" s="124"/>
      <c r="AY127" s="34"/>
    </row>
    <row r="128" spans="3:51" ht="11.1" customHeight="1" x14ac:dyDescent="0.2">
      <c r="C128" s="29"/>
      <c r="D128" s="59"/>
      <c r="F128" s="69"/>
      <c r="G128" s="116"/>
      <c r="H128" s="117"/>
      <c r="I128" s="117"/>
      <c r="J128" s="117"/>
      <c r="K128" s="117"/>
      <c r="L128" s="117"/>
      <c r="M128" s="117"/>
      <c r="N128" s="117"/>
      <c r="O128" s="117"/>
      <c r="P128" s="117"/>
      <c r="Q128" s="117"/>
      <c r="R128" s="117"/>
      <c r="S128" s="117"/>
      <c r="T128" s="117"/>
      <c r="U128" s="117"/>
      <c r="V128" s="117"/>
      <c r="W128" s="117"/>
      <c r="X128" s="117"/>
      <c r="Y128" s="117"/>
      <c r="Z128" s="117"/>
      <c r="AA128" s="118"/>
      <c r="AB128" s="44"/>
      <c r="AC128" s="116"/>
      <c r="AD128" s="125"/>
      <c r="AE128" s="125"/>
      <c r="AF128" s="125"/>
      <c r="AG128" s="125"/>
      <c r="AH128" s="125"/>
      <c r="AI128" s="125"/>
      <c r="AJ128" s="125"/>
      <c r="AK128" s="125"/>
      <c r="AL128" s="125"/>
      <c r="AM128" s="125"/>
      <c r="AN128" s="125"/>
      <c r="AO128" s="125"/>
      <c r="AP128" s="125"/>
      <c r="AQ128" s="125"/>
      <c r="AR128" s="125"/>
      <c r="AS128" s="125"/>
      <c r="AT128" s="125"/>
      <c r="AU128" s="125"/>
      <c r="AV128" s="125"/>
      <c r="AW128" s="126"/>
      <c r="AY128" s="34"/>
    </row>
    <row r="129" spans="3:51" ht="11.1" customHeight="1" x14ac:dyDescent="0.2">
      <c r="C129" s="29"/>
      <c r="D129" s="59"/>
      <c r="F129" s="69"/>
      <c r="G129" s="119"/>
      <c r="H129" s="120"/>
      <c r="I129" s="120"/>
      <c r="J129" s="120"/>
      <c r="K129" s="120"/>
      <c r="L129" s="120"/>
      <c r="M129" s="120"/>
      <c r="N129" s="120"/>
      <c r="O129" s="120"/>
      <c r="P129" s="120"/>
      <c r="Q129" s="120"/>
      <c r="R129" s="120"/>
      <c r="S129" s="120"/>
      <c r="T129" s="120"/>
      <c r="U129" s="120"/>
      <c r="V129" s="120"/>
      <c r="W129" s="120"/>
      <c r="X129" s="120"/>
      <c r="Y129" s="120"/>
      <c r="Z129" s="120"/>
      <c r="AA129" s="121"/>
      <c r="AB129" s="44"/>
      <c r="AC129" s="127"/>
      <c r="AD129" s="128"/>
      <c r="AE129" s="128"/>
      <c r="AF129" s="128"/>
      <c r="AG129" s="128"/>
      <c r="AH129" s="128"/>
      <c r="AI129" s="128"/>
      <c r="AJ129" s="128"/>
      <c r="AK129" s="128"/>
      <c r="AL129" s="128"/>
      <c r="AM129" s="128"/>
      <c r="AN129" s="128"/>
      <c r="AO129" s="128"/>
      <c r="AP129" s="128"/>
      <c r="AQ129" s="128"/>
      <c r="AR129" s="128"/>
      <c r="AS129" s="128"/>
      <c r="AT129" s="128"/>
      <c r="AU129" s="128"/>
      <c r="AV129" s="128"/>
      <c r="AW129" s="129"/>
      <c r="AY129" s="34"/>
    </row>
    <row r="130" spans="3:51" ht="11.1" customHeight="1" x14ac:dyDescent="0.2">
      <c r="C130" s="29"/>
      <c r="D130" s="59"/>
      <c r="F130" s="69"/>
      <c r="G130" s="119"/>
      <c r="H130" s="120"/>
      <c r="I130" s="120"/>
      <c r="J130" s="120"/>
      <c r="K130" s="120"/>
      <c r="L130" s="120"/>
      <c r="M130" s="120"/>
      <c r="N130" s="120"/>
      <c r="O130" s="120"/>
      <c r="P130" s="120"/>
      <c r="Q130" s="120"/>
      <c r="R130" s="120"/>
      <c r="S130" s="120"/>
      <c r="T130" s="120"/>
      <c r="U130" s="120"/>
      <c r="V130" s="120"/>
      <c r="W130" s="120"/>
      <c r="X130" s="120"/>
      <c r="Y130" s="120"/>
      <c r="Z130" s="120"/>
      <c r="AA130" s="121"/>
      <c r="AB130" s="44"/>
      <c r="AC130" s="127"/>
      <c r="AD130" s="128"/>
      <c r="AE130" s="128"/>
      <c r="AF130" s="128"/>
      <c r="AG130" s="128"/>
      <c r="AH130" s="128"/>
      <c r="AI130" s="128"/>
      <c r="AJ130" s="128"/>
      <c r="AK130" s="128"/>
      <c r="AL130" s="128"/>
      <c r="AM130" s="128"/>
      <c r="AN130" s="128"/>
      <c r="AO130" s="128"/>
      <c r="AP130" s="128"/>
      <c r="AQ130" s="128"/>
      <c r="AR130" s="128"/>
      <c r="AS130" s="128"/>
      <c r="AT130" s="128"/>
      <c r="AU130" s="128"/>
      <c r="AV130" s="128"/>
      <c r="AW130" s="129"/>
      <c r="AY130" s="34"/>
    </row>
    <row r="131" spans="3:51" ht="11.1" customHeight="1" x14ac:dyDescent="0.2">
      <c r="C131" s="29"/>
      <c r="D131" s="59"/>
      <c r="F131" s="69"/>
      <c r="G131" s="119"/>
      <c r="H131" s="120"/>
      <c r="I131" s="120"/>
      <c r="J131" s="120"/>
      <c r="K131" s="120"/>
      <c r="L131" s="120"/>
      <c r="M131" s="120"/>
      <c r="N131" s="120"/>
      <c r="O131" s="120"/>
      <c r="P131" s="120"/>
      <c r="Q131" s="120"/>
      <c r="R131" s="120"/>
      <c r="S131" s="120"/>
      <c r="T131" s="120"/>
      <c r="U131" s="120"/>
      <c r="V131" s="120"/>
      <c r="W131" s="120"/>
      <c r="X131" s="120"/>
      <c r="Y131" s="120"/>
      <c r="Z131" s="120"/>
      <c r="AA131" s="121"/>
      <c r="AB131" s="44"/>
      <c r="AC131" s="127"/>
      <c r="AD131" s="128"/>
      <c r="AE131" s="128"/>
      <c r="AF131" s="128"/>
      <c r="AG131" s="128"/>
      <c r="AH131" s="128"/>
      <c r="AI131" s="128"/>
      <c r="AJ131" s="128"/>
      <c r="AK131" s="128"/>
      <c r="AL131" s="128"/>
      <c r="AM131" s="128"/>
      <c r="AN131" s="128"/>
      <c r="AO131" s="128"/>
      <c r="AP131" s="128"/>
      <c r="AQ131" s="128"/>
      <c r="AR131" s="128"/>
      <c r="AS131" s="128"/>
      <c r="AT131" s="128"/>
      <c r="AU131" s="128"/>
      <c r="AV131" s="128"/>
      <c r="AW131" s="129"/>
      <c r="AY131" s="34"/>
    </row>
    <row r="132" spans="3:51" ht="11.1" customHeight="1" x14ac:dyDescent="0.2">
      <c r="C132" s="29"/>
      <c r="D132" s="59"/>
      <c r="F132" s="69"/>
      <c r="G132" s="119"/>
      <c r="H132" s="120"/>
      <c r="I132" s="120"/>
      <c r="J132" s="120"/>
      <c r="K132" s="120"/>
      <c r="L132" s="120"/>
      <c r="M132" s="120"/>
      <c r="N132" s="120"/>
      <c r="O132" s="120"/>
      <c r="P132" s="120"/>
      <c r="Q132" s="120"/>
      <c r="R132" s="120"/>
      <c r="S132" s="120"/>
      <c r="T132" s="120"/>
      <c r="U132" s="120"/>
      <c r="V132" s="120"/>
      <c r="W132" s="120"/>
      <c r="X132" s="120"/>
      <c r="Y132" s="120"/>
      <c r="Z132" s="120"/>
      <c r="AA132" s="121"/>
      <c r="AB132" s="44"/>
      <c r="AC132" s="127"/>
      <c r="AD132" s="128"/>
      <c r="AE132" s="128"/>
      <c r="AF132" s="128"/>
      <c r="AG132" s="128"/>
      <c r="AH132" s="128"/>
      <c r="AI132" s="128"/>
      <c r="AJ132" s="128"/>
      <c r="AK132" s="128"/>
      <c r="AL132" s="128"/>
      <c r="AM132" s="128"/>
      <c r="AN132" s="128"/>
      <c r="AO132" s="128"/>
      <c r="AP132" s="128"/>
      <c r="AQ132" s="128"/>
      <c r="AR132" s="128"/>
      <c r="AS132" s="128"/>
      <c r="AT132" s="128"/>
      <c r="AU132" s="128"/>
      <c r="AV132" s="128"/>
      <c r="AW132" s="129"/>
      <c r="AY132" s="34"/>
    </row>
    <row r="133" spans="3:51" ht="11.1" customHeight="1" x14ac:dyDescent="0.2">
      <c r="C133" s="29"/>
      <c r="D133" s="59"/>
      <c r="F133" s="69"/>
      <c r="G133" s="119"/>
      <c r="H133" s="120"/>
      <c r="I133" s="120"/>
      <c r="J133" s="120"/>
      <c r="K133" s="120"/>
      <c r="L133" s="120"/>
      <c r="M133" s="120"/>
      <c r="N133" s="120"/>
      <c r="O133" s="120"/>
      <c r="P133" s="120"/>
      <c r="Q133" s="120"/>
      <c r="R133" s="120"/>
      <c r="S133" s="120"/>
      <c r="T133" s="120"/>
      <c r="U133" s="120"/>
      <c r="V133" s="120"/>
      <c r="W133" s="120"/>
      <c r="X133" s="120"/>
      <c r="Y133" s="120"/>
      <c r="Z133" s="120"/>
      <c r="AA133" s="121"/>
      <c r="AB133" s="44"/>
      <c r="AC133" s="127"/>
      <c r="AD133" s="128"/>
      <c r="AE133" s="128"/>
      <c r="AF133" s="128"/>
      <c r="AG133" s="128"/>
      <c r="AH133" s="128"/>
      <c r="AI133" s="128"/>
      <c r="AJ133" s="128"/>
      <c r="AK133" s="128"/>
      <c r="AL133" s="128"/>
      <c r="AM133" s="128"/>
      <c r="AN133" s="128"/>
      <c r="AO133" s="128"/>
      <c r="AP133" s="128"/>
      <c r="AQ133" s="128"/>
      <c r="AR133" s="128"/>
      <c r="AS133" s="128"/>
      <c r="AT133" s="128"/>
      <c r="AU133" s="128"/>
      <c r="AV133" s="128"/>
      <c r="AW133" s="129"/>
      <c r="AY133" s="34"/>
    </row>
    <row r="134" spans="3:51" ht="11.1" customHeight="1" x14ac:dyDescent="0.2">
      <c r="C134" s="29"/>
      <c r="D134" s="59"/>
      <c r="F134" s="69"/>
      <c r="G134" s="119"/>
      <c r="H134" s="120"/>
      <c r="I134" s="120"/>
      <c r="J134" s="120"/>
      <c r="K134" s="120"/>
      <c r="L134" s="120"/>
      <c r="M134" s="120"/>
      <c r="N134" s="120"/>
      <c r="O134" s="120"/>
      <c r="P134" s="120"/>
      <c r="Q134" s="120"/>
      <c r="R134" s="120"/>
      <c r="S134" s="120"/>
      <c r="T134" s="120"/>
      <c r="U134" s="120"/>
      <c r="V134" s="120"/>
      <c r="W134" s="120"/>
      <c r="X134" s="120"/>
      <c r="Y134" s="120"/>
      <c r="Z134" s="120"/>
      <c r="AA134" s="121"/>
      <c r="AB134" s="44"/>
      <c r="AC134" s="127"/>
      <c r="AD134" s="128"/>
      <c r="AE134" s="128"/>
      <c r="AF134" s="128"/>
      <c r="AG134" s="128"/>
      <c r="AH134" s="128"/>
      <c r="AI134" s="128"/>
      <c r="AJ134" s="128"/>
      <c r="AK134" s="128"/>
      <c r="AL134" s="128"/>
      <c r="AM134" s="128"/>
      <c r="AN134" s="128"/>
      <c r="AO134" s="128"/>
      <c r="AP134" s="128"/>
      <c r="AQ134" s="128"/>
      <c r="AR134" s="128"/>
      <c r="AS134" s="128"/>
      <c r="AT134" s="128"/>
      <c r="AU134" s="128"/>
      <c r="AV134" s="128"/>
      <c r="AW134" s="129"/>
      <c r="AY134" s="34"/>
    </row>
    <row r="135" spans="3:51" ht="11.1" customHeight="1" x14ac:dyDescent="0.2">
      <c r="C135" s="29"/>
      <c r="D135" s="59"/>
      <c r="F135" s="69"/>
      <c r="G135" s="119"/>
      <c r="H135" s="120"/>
      <c r="I135" s="120"/>
      <c r="J135" s="120"/>
      <c r="K135" s="120"/>
      <c r="L135" s="120"/>
      <c r="M135" s="120"/>
      <c r="N135" s="120"/>
      <c r="O135" s="120"/>
      <c r="P135" s="120"/>
      <c r="Q135" s="120"/>
      <c r="R135" s="120"/>
      <c r="S135" s="120"/>
      <c r="T135" s="120"/>
      <c r="U135" s="120"/>
      <c r="V135" s="120"/>
      <c r="W135" s="120"/>
      <c r="X135" s="120"/>
      <c r="Y135" s="120"/>
      <c r="Z135" s="120"/>
      <c r="AA135" s="121"/>
      <c r="AB135" s="44"/>
      <c r="AC135" s="127"/>
      <c r="AD135" s="128"/>
      <c r="AE135" s="128"/>
      <c r="AF135" s="128"/>
      <c r="AG135" s="128"/>
      <c r="AH135" s="128"/>
      <c r="AI135" s="128"/>
      <c r="AJ135" s="128"/>
      <c r="AK135" s="128"/>
      <c r="AL135" s="128"/>
      <c r="AM135" s="128"/>
      <c r="AN135" s="128"/>
      <c r="AO135" s="128"/>
      <c r="AP135" s="128"/>
      <c r="AQ135" s="128"/>
      <c r="AR135" s="128"/>
      <c r="AS135" s="128"/>
      <c r="AT135" s="128"/>
      <c r="AU135" s="128"/>
      <c r="AV135" s="128"/>
      <c r="AW135" s="129"/>
      <c r="AY135" s="34"/>
    </row>
    <row r="136" spans="3:51" ht="11.1" customHeight="1" x14ac:dyDescent="0.2">
      <c r="C136" s="29"/>
      <c r="D136" s="59"/>
      <c r="F136" s="69"/>
      <c r="G136" s="119"/>
      <c r="H136" s="120"/>
      <c r="I136" s="120"/>
      <c r="J136" s="120"/>
      <c r="K136" s="120"/>
      <c r="L136" s="120"/>
      <c r="M136" s="120"/>
      <c r="N136" s="120"/>
      <c r="O136" s="120"/>
      <c r="P136" s="120"/>
      <c r="Q136" s="120"/>
      <c r="R136" s="120"/>
      <c r="S136" s="120"/>
      <c r="T136" s="120"/>
      <c r="U136" s="120"/>
      <c r="V136" s="120"/>
      <c r="W136" s="120"/>
      <c r="X136" s="120"/>
      <c r="Y136" s="120"/>
      <c r="Z136" s="120"/>
      <c r="AA136" s="121"/>
      <c r="AB136" s="44"/>
      <c r="AC136" s="127"/>
      <c r="AD136" s="128"/>
      <c r="AE136" s="128"/>
      <c r="AF136" s="128"/>
      <c r="AG136" s="128"/>
      <c r="AH136" s="128"/>
      <c r="AI136" s="128"/>
      <c r="AJ136" s="128"/>
      <c r="AK136" s="128"/>
      <c r="AL136" s="128"/>
      <c r="AM136" s="128"/>
      <c r="AN136" s="128"/>
      <c r="AO136" s="128"/>
      <c r="AP136" s="128"/>
      <c r="AQ136" s="128"/>
      <c r="AR136" s="128"/>
      <c r="AS136" s="128"/>
      <c r="AT136" s="128"/>
      <c r="AU136" s="128"/>
      <c r="AV136" s="128"/>
      <c r="AW136" s="129"/>
      <c r="AY136" s="34"/>
    </row>
    <row r="137" spans="3:51" ht="11.1" customHeight="1" x14ac:dyDescent="0.2">
      <c r="C137" s="29"/>
      <c r="D137" s="59"/>
      <c r="F137" s="69"/>
      <c r="G137" s="119"/>
      <c r="H137" s="120"/>
      <c r="I137" s="120"/>
      <c r="J137" s="120"/>
      <c r="K137" s="120"/>
      <c r="L137" s="120"/>
      <c r="M137" s="120"/>
      <c r="N137" s="120"/>
      <c r="O137" s="120"/>
      <c r="P137" s="120"/>
      <c r="Q137" s="120"/>
      <c r="R137" s="120"/>
      <c r="S137" s="120"/>
      <c r="T137" s="120"/>
      <c r="U137" s="120"/>
      <c r="V137" s="120"/>
      <c r="W137" s="120"/>
      <c r="X137" s="120"/>
      <c r="Y137" s="120"/>
      <c r="Z137" s="120"/>
      <c r="AA137" s="121"/>
      <c r="AB137" s="44"/>
      <c r="AC137" s="127"/>
      <c r="AD137" s="128"/>
      <c r="AE137" s="128"/>
      <c r="AF137" s="128"/>
      <c r="AG137" s="128"/>
      <c r="AH137" s="128"/>
      <c r="AI137" s="128"/>
      <c r="AJ137" s="128"/>
      <c r="AK137" s="128"/>
      <c r="AL137" s="128"/>
      <c r="AM137" s="128"/>
      <c r="AN137" s="128"/>
      <c r="AO137" s="128"/>
      <c r="AP137" s="128"/>
      <c r="AQ137" s="128"/>
      <c r="AR137" s="128"/>
      <c r="AS137" s="128"/>
      <c r="AT137" s="128"/>
      <c r="AU137" s="128"/>
      <c r="AV137" s="128"/>
      <c r="AW137" s="129"/>
      <c r="AY137" s="34"/>
    </row>
    <row r="138" spans="3:51" ht="11.1" customHeight="1" x14ac:dyDescent="0.2">
      <c r="C138" s="29"/>
      <c r="D138" s="59"/>
      <c r="F138" s="69"/>
      <c r="G138" s="119"/>
      <c r="H138" s="120"/>
      <c r="I138" s="120"/>
      <c r="J138" s="120"/>
      <c r="K138" s="120"/>
      <c r="L138" s="120"/>
      <c r="M138" s="120"/>
      <c r="N138" s="120"/>
      <c r="O138" s="120"/>
      <c r="P138" s="120"/>
      <c r="Q138" s="120"/>
      <c r="R138" s="120"/>
      <c r="S138" s="120"/>
      <c r="T138" s="120"/>
      <c r="U138" s="120"/>
      <c r="V138" s="120"/>
      <c r="W138" s="120"/>
      <c r="X138" s="120"/>
      <c r="Y138" s="120"/>
      <c r="Z138" s="120"/>
      <c r="AA138" s="121"/>
      <c r="AB138" s="44"/>
      <c r="AC138" s="127"/>
      <c r="AD138" s="128"/>
      <c r="AE138" s="128"/>
      <c r="AF138" s="128"/>
      <c r="AG138" s="128"/>
      <c r="AH138" s="128"/>
      <c r="AI138" s="128"/>
      <c r="AJ138" s="128"/>
      <c r="AK138" s="128"/>
      <c r="AL138" s="128"/>
      <c r="AM138" s="128"/>
      <c r="AN138" s="128"/>
      <c r="AO138" s="128"/>
      <c r="AP138" s="128"/>
      <c r="AQ138" s="128"/>
      <c r="AR138" s="128"/>
      <c r="AS138" s="128"/>
      <c r="AT138" s="128"/>
      <c r="AU138" s="128"/>
      <c r="AV138" s="128"/>
      <c r="AW138" s="129"/>
      <c r="AY138" s="34"/>
    </row>
    <row r="139" spans="3:51" ht="11.1" customHeight="1" x14ac:dyDescent="0.2">
      <c r="C139" s="29"/>
      <c r="D139" s="59"/>
      <c r="F139" s="69"/>
      <c r="G139" s="119"/>
      <c r="H139" s="120"/>
      <c r="I139" s="120"/>
      <c r="J139" s="120"/>
      <c r="K139" s="120"/>
      <c r="L139" s="120"/>
      <c r="M139" s="120"/>
      <c r="N139" s="120"/>
      <c r="O139" s="120"/>
      <c r="P139" s="120"/>
      <c r="Q139" s="120"/>
      <c r="R139" s="120"/>
      <c r="S139" s="120"/>
      <c r="T139" s="120"/>
      <c r="U139" s="120"/>
      <c r="V139" s="120"/>
      <c r="W139" s="120"/>
      <c r="X139" s="120"/>
      <c r="Y139" s="120"/>
      <c r="Z139" s="120"/>
      <c r="AA139" s="121"/>
      <c r="AB139" s="44"/>
      <c r="AC139" s="127"/>
      <c r="AD139" s="128"/>
      <c r="AE139" s="128"/>
      <c r="AF139" s="128"/>
      <c r="AG139" s="128"/>
      <c r="AH139" s="128"/>
      <c r="AI139" s="128"/>
      <c r="AJ139" s="128"/>
      <c r="AK139" s="128"/>
      <c r="AL139" s="128"/>
      <c r="AM139" s="128"/>
      <c r="AN139" s="128"/>
      <c r="AO139" s="128"/>
      <c r="AP139" s="128"/>
      <c r="AQ139" s="128"/>
      <c r="AR139" s="128"/>
      <c r="AS139" s="128"/>
      <c r="AT139" s="128"/>
      <c r="AU139" s="128"/>
      <c r="AV139" s="128"/>
      <c r="AW139" s="129"/>
      <c r="AY139" s="34"/>
    </row>
    <row r="140" spans="3:51" ht="11.1" customHeight="1" x14ac:dyDescent="0.2">
      <c r="C140" s="29"/>
      <c r="D140" s="59"/>
      <c r="F140" s="69"/>
      <c r="G140" s="119"/>
      <c r="H140" s="120"/>
      <c r="I140" s="120"/>
      <c r="J140" s="120"/>
      <c r="K140" s="120"/>
      <c r="L140" s="120"/>
      <c r="M140" s="120"/>
      <c r="N140" s="120"/>
      <c r="O140" s="120"/>
      <c r="P140" s="120"/>
      <c r="Q140" s="120"/>
      <c r="R140" s="120"/>
      <c r="S140" s="120"/>
      <c r="T140" s="120"/>
      <c r="U140" s="120"/>
      <c r="V140" s="120"/>
      <c r="W140" s="120"/>
      <c r="X140" s="120"/>
      <c r="Y140" s="120"/>
      <c r="Z140" s="120"/>
      <c r="AA140" s="121"/>
      <c r="AB140" s="44"/>
      <c r="AC140" s="127"/>
      <c r="AD140" s="128"/>
      <c r="AE140" s="128"/>
      <c r="AF140" s="128"/>
      <c r="AG140" s="128"/>
      <c r="AH140" s="128"/>
      <c r="AI140" s="128"/>
      <c r="AJ140" s="128"/>
      <c r="AK140" s="128"/>
      <c r="AL140" s="128"/>
      <c r="AM140" s="128"/>
      <c r="AN140" s="128"/>
      <c r="AO140" s="128"/>
      <c r="AP140" s="128"/>
      <c r="AQ140" s="128"/>
      <c r="AR140" s="128"/>
      <c r="AS140" s="128"/>
      <c r="AT140" s="128"/>
      <c r="AU140" s="128"/>
      <c r="AV140" s="128"/>
      <c r="AW140" s="129"/>
      <c r="AY140" s="34"/>
    </row>
    <row r="141" spans="3:51" ht="11.1" customHeight="1" x14ac:dyDescent="0.2">
      <c r="C141" s="29"/>
      <c r="D141" s="59"/>
      <c r="F141" s="69"/>
      <c r="G141" s="119"/>
      <c r="H141" s="120"/>
      <c r="I141" s="120"/>
      <c r="J141" s="120"/>
      <c r="K141" s="120"/>
      <c r="L141" s="120"/>
      <c r="M141" s="120"/>
      <c r="N141" s="120"/>
      <c r="O141" s="120"/>
      <c r="P141" s="120"/>
      <c r="Q141" s="120"/>
      <c r="R141" s="120"/>
      <c r="S141" s="120"/>
      <c r="T141" s="120"/>
      <c r="U141" s="120"/>
      <c r="V141" s="120"/>
      <c r="W141" s="120"/>
      <c r="X141" s="120"/>
      <c r="Y141" s="120"/>
      <c r="Z141" s="120"/>
      <c r="AA141" s="121"/>
      <c r="AB141" s="44"/>
      <c r="AC141" s="127"/>
      <c r="AD141" s="128"/>
      <c r="AE141" s="128"/>
      <c r="AF141" s="128"/>
      <c r="AG141" s="128"/>
      <c r="AH141" s="128"/>
      <c r="AI141" s="128"/>
      <c r="AJ141" s="128"/>
      <c r="AK141" s="128"/>
      <c r="AL141" s="128"/>
      <c r="AM141" s="128"/>
      <c r="AN141" s="128"/>
      <c r="AO141" s="128"/>
      <c r="AP141" s="128"/>
      <c r="AQ141" s="128"/>
      <c r="AR141" s="128"/>
      <c r="AS141" s="128"/>
      <c r="AT141" s="128"/>
      <c r="AU141" s="128"/>
      <c r="AV141" s="128"/>
      <c r="AW141" s="129"/>
      <c r="AY141" s="34"/>
    </row>
    <row r="142" spans="3:51" ht="11.1" customHeight="1" x14ac:dyDescent="0.2">
      <c r="C142" s="29"/>
      <c r="D142" s="59"/>
      <c r="F142" s="69"/>
      <c r="G142" s="119"/>
      <c r="H142" s="120"/>
      <c r="I142" s="120"/>
      <c r="J142" s="120"/>
      <c r="K142" s="120"/>
      <c r="L142" s="120"/>
      <c r="M142" s="120"/>
      <c r="N142" s="120"/>
      <c r="O142" s="120"/>
      <c r="P142" s="120"/>
      <c r="Q142" s="120"/>
      <c r="R142" s="120"/>
      <c r="S142" s="120"/>
      <c r="T142" s="120"/>
      <c r="U142" s="120"/>
      <c r="V142" s="120"/>
      <c r="W142" s="120"/>
      <c r="X142" s="120"/>
      <c r="Y142" s="120"/>
      <c r="Z142" s="120"/>
      <c r="AA142" s="121"/>
      <c r="AB142" s="44"/>
      <c r="AC142" s="127"/>
      <c r="AD142" s="128"/>
      <c r="AE142" s="128"/>
      <c r="AF142" s="128"/>
      <c r="AG142" s="128"/>
      <c r="AH142" s="128"/>
      <c r="AI142" s="128"/>
      <c r="AJ142" s="128"/>
      <c r="AK142" s="128"/>
      <c r="AL142" s="128"/>
      <c r="AM142" s="128"/>
      <c r="AN142" s="128"/>
      <c r="AO142" s="128"/>
      <c r="AP142" s="128"/>
      <c r="AQ142" s="128"/>
      <c r="AR142" s="128"/>
      <c r="AS142" s="128"/>
      <c r="AT142" s="128"/>
      <c r="AU142" s="128"/>
      <c r="AV142" s="128"/>
      <c r="AW142" s="129"/>
      <c r="AY142" s="34"/>
    </row>
    <row r="143" spans="3:51" ht="11.1" customHeight="1" x14ac:dyDescent="0.2">
      <c r="C143" s="29"/>
      <c r="D143" s="59"/>
      <c r="F143" s="69"/>
      <c r="G143" s="122"/>
      <c r="H143" s="123"/>
      <c r="I143" s="123"/>
      <c r="J143" s="123"/>
      <c r="K143" s="123"/>
      <c r="L143" s="123"/>
      <c r="M143" s="123"/>
      <c r="N143" s="123"/>
      <c r="O143" s="123"/>
      <c r="P143" s="123"/>
      <c r="Q143" s="123"/>
      <c r="R143" s="123"/>
      <c r="S143" s="123"/>
      <c r="T143" s="123"/>
      <c r="U143" s="123"/>
      <c r="V143" s="123"/>
      <c r="W143" s="123"/>
      <c r="X143" s="123"/>
      <c r="Y143" s="123"/>
      <c r="Z143" s="123"/>
      <c r="AA143" s="124"/>
      <c r="AB143" s="44"/>
      <c r="AC143" s="130"/>
      <c r="AD143" s="131"/>
      <c r="AE143" s="131"/>
      <c r="AF143" s="131"/>
      <c r="AG143" s="131"/>
      <c r="AH143" s="131"/>
      <c r="AI143" s="131"/>
      <c r="AJ143" s="131"/>
      <c r="AK143" s="131"/>
      <c r="AL143" s="131"/>
      <c r="AM143" s="131"/>
      <c r="AN143" s="131"/>
      <c r="AO143" s="131"/>
      <c r="AP143" s="131"/>
      <c r="AQ143" s="131"/>
      <c r="AR143" s="131"/>
      <c r="AS143" s="131"/>
      <c r="AT143" s="131"/>
      <c r="AU143" s="131"/>
      <c r="AV143" s="131"/>
      <c r="AW143" s="132"/>
      <c r="AY143" s="34"/>
    </row>
    <row r="144" spans="3:51" ht="3.95" customHeight="1" x14ac:dyDescent="0.2">
      <c r="C144" s="29"/>
      <c r="D144" s="59"/>
      <c r="E144" s="5" t="s">
        <v>13</v>
      </c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18"/>
      <c r="AK144" s="55"/>
      <c r="AL144" s="55"/>
      <c r="AM144" s="55"/>
      <c r="AN144" s="55"/>
      <c r="AO144" s="55"/>
      <c r="AP144" s="55"/>
      <c r="AY144" s="34"/>
    </row>
    <row r="145" spans="3:62" ht="11.1" customHeight="1" x14ac:dyDescent="0.2">
      <c r="C145" s="29"/>
      <c r="D145" s="59"/>
      <c r="F145" s="69"/>
      <c r="G145" s="116"/>
      <c r="H145" s="117"/>
      <c r="I145" s="117"/>
      <c r="J145" s="117"/>
      <c r="K145" s="117"/>
      <c r="L145" s="117"/>
      <c r="M145" s="117"/>
      <c r="N145" s="117"/>
      <c r="O145" s="117"/>
      <c r="P145" s="117"/>
      <c r="Q145" s="117"/>
      <c r="R145" s="117"/>
      <c r="S145" s="117"/>
      <c r="T145" s="117"/>
      <c r="U145" s="117"/>
      <c r="V145" s="117"/>
      <c r="W145" s="117"/>
      <c r="X145" s="117"/>
      <c r="Y145" s="117"/>
      <c r="Z145" s="117"/>
      <c r="AA145" s="118"/>
      <c r="AB145" s="44"/>
      <c r="AC145" s="116"/>
      <c r="AD145" s="117"/>
      <c r="AE145" s="117"/>
      <c r="AF145" s="117"/>
      <c r="AG145" s="117"/>
      <c r="AH145" s="117"/>
      <c r="AI145" s="117"/>
      <c r="AJ145" s="117"/>
      <c r="AK145" s="117"/>
      <c r="AL145" s="117"/>
      <c r="AM145" s="117"/>
      <c r="AN145" s="117"/>
      <c r="AO145" s="117"/>
      <c r="AP145" s="117"/>
      <c r="AQ145" s="117"/>
      <c r="AR145" s="117"/>
      <c r="AS145" s="117"/>
      <c r="AT145" s="117"/>
      <c r="AU145" s="117"/>
      <c r="AV145" s="117"/>
      <c r="AW145" s="118"/>
      <c r="AY145" s="34"/>
      <c r="BG145" s="101"/>
      <c r="BJ145" s="99"/>
    </row>
    <row r="146" spans="3:62" ht="11.1" customHeight="1" x14ac:dyDescent="0.2">
      <c r="C146" s="29"/>
      <c r="D146" s="59"/>
      <c r="F146" s="69"/>
      <c r="G146" s="119"/>
      <c r="H146" s="120"/>
      <c r="I146" s="120"/>
      <c r="J146" s="120"/>
      <c r="K146" s="120"/>
      <c r="L146" s="120"/>
      <c r="M146" s="120"/>
      <c r="N146" s="120"/>
      <c r="O146" s="120"/>
      <c r="P146" s="120"/>
      <c r="Q146" s="120"/>
      <c r="R146" s="120"/>
      <c r="S146" s="120"/>
      <c r="T146" s="120"/>
      <c r="U146" s="120"/>
      <c r="V146" s="120"/>
      <c r="W146" s="120"/>
      <c r="X146" s="120"/>
      <c r="Y146" s="120"/>
      <c r="Z146" s="120"/>
      <c r="AA146" s="121"/>
      <c r="AB146" s="44"/>
      <c r="AC146" s="119"/>
      <c r="AD146" s="120"/>
      <c r="AE146" s="120"/>
      <c r="AF146" s="120"/>
      <c r="AG146" s="120"/>
      <c r="AH146" s="120"/>
      <c r="AI146" s="120"/>
      <c r="AJ146" s="120"/>
      <c r="AK146" s="120"/>
      <c r="AL146" s="120"/>
      <c r="AM146" s="120"/>
      <c r="AN146" s="120"/>
      <c r="AO146" s="120"/>
      <c r="AP146" s="120"/>
      <c r="AQ146" s="120"/>
      <c r="AR146" s="120"/>
      <c r="AS146" s="120"/>
      <c r="AT146" s="120"/>
      <c r="AU146" s="120"/>
      <c r="AV146" s="120"/>
      <c r="AW146" s="121"/>
      <c r="AY146" s="34"/>
      <c r="BG146" s="101"/>
    </row>
    <row r="147" spans="3:62" ht="11.1" customHeight="1" x14ac:dyDescent="0.2">
      <c r="C147" s="29"/>
      <c r="D147" s="59"/>
      <c r="F147" s="69"/>
      <c r="G147" s="119"/>
      <c r="H147" s="120"/>
      <c r="I147" s="120"/>
      <c r="J147" s="120"/>
      <c r="K147" s="120"/>
      <c r="L147" s="120"/>
      <c r="M147" s="120"/>
      <c r="N147" s="120"/>
      <c r="O147" s="120"/>
      <c r="P147" s="120"/>
      <c r="Q147" s="120"/>
      <c r="R147" s="120"/>
      <c r="S147" s="120"/>
      <c r="T147" s="120"/>
      <c r="U147" s="120"/>
      <c r="V147" s="120"/>
      <c r="W147" s="120"/>
      <c r="X147" s="120"/>
      <c r="Y147" s="120"/>
      <c r="Z147" s="120"/>
      <c r="AA147" s="121"/>
      <c r="AB147" s="44"/>
      <c r="AC147" s="119"/>
      <c r="AD147" s="120"/>
      <c r="AE147" s="120"/>
      <c r="AF147" s="120"/>
      <c r="AG147" s="120"/>
      <c r="AH147" s="120"/>
      <c r="AI147" s="120"/>
      <c r="AJ147" s="120"/>
      <c r="AK147" s="120"/>
      <c r="AL147" s="120"/>
      <c r="AM147" s="120"/>
      <c r="AN147" s="120"/>
      <c r="AO147" s="120"/>
      <c r="AP147" s="120"/>
      <c r="AQ147" s="120"/>
      <c r="AR147" s="120"/>
      <c r="AS147" s="120"/>
      <c r="AT147" s="120"/>
      <c r="AU147" s="120"/>
      <c r="AV147" s="120"/>
      <c r="AW147" s="121"/>
      <c r="AY147" s="34"/>
      <c r="BG147" s="101"/>
    </row>
    <row r="148" spans="3:62" ht="11.1" customHeight="1" x14ac:dyDescent="0.2">
      <c r="C148" s="29"/>
      <c r="D148" s="59"/>
      <c r="F148" s="69"/>
      <c r="G148" s="119"/>
      <c r="H148" s="120"/>
      <c r="I148" s="120"/>
      <c r="J148" s="120"/>
      <c r="K148" s="120"/>
      <c r="L148" s="120"/>
      <c r="M148" s="120"/>
      <c r="N148" s="120"/>
      <c r="O148" s="120"/>
      <c r="P148" s="120"/>
      <c r="Q148" s="120"/>
      <c r="R148" s="120"/>
      <c r="S148" s="120"/>
      <c r="T148" s="120"/>
      <c r="U148" s="120"/>
      <c r="V148" s="120"/>
      <c r="W148" s="120"/>
      <c r="X148" s="120"/>
      <c r="Y148" s="120"/>
      <c r="Z148" s="120"/>
      <c r="AA148" s="121"/>
      <c r="AB148" s="44"/>
      <c r="AC148" s="119"/>
      <c r="AD148" s="120"/>
      <c r="AE148" s="120"/>
      <c r="AF148" s="120"/>
      <c r="AG148" s="120"/>
      <c r="AH148" s="120"/>
      <c r="AI148" s="120"/>
      <c r="AJ148" s="120"/>
      <c r="AK148" s="120"/>
      <c r="AL148" s="120"/>
      <c r="AM148" s="120"/>
      <c r="AN148" s="120"/>
      <c r="AO148" s="120"/>
      <c r="AP148" s="120"/>
      <c r="AQ148" s="120"/>
      <c r="AR148" s="120"/>
      <c r="AS148" s="120"/>
      <c r="AT148" s="120"/>
      <c r="AU148" s="120"/>
      <c r="AV148" s="120"/>
      <c r="AW148" s="121"/>
      <c r="AY148" s="34"/>
    </row>
    <row r="149" spans="3:62" ht="11.1" customHeight="1" x14ac:dyDescent="0.2">
      <c r="C149" s="29"/>
      <c r="D149" s="59"/>
      <c r="F149" s="69"/>
      <c r="G149" s="119"/>
      <c r="H149" s="120"/>
      <c r="I149" s="120"/>
      <c r="J149" s="120"/>
      <c r="K149" s="120"/>
      <c r="L149" s="120"/>
      <c r="M149" s="120"/>
      <c r="N149" s="120"/>
      <c r="O149" s="120"/>
      <c r="P149" s="120"/>
      <c r="Q149" s="120"/>
      <c r="R149" s="120"/>
      <c r="S149" s="120"/>
      <c r="T149" s="120"/>
      <c r="U149" s="120"/>
      <c r="V149" s="120"/>
      <c r="W149" s="120"/>
      <c r="X149" s="120"/>
      <c r="Y149" s="120"/>
      <c r="Z149" s="120"/>
      <c r="AA149" s="121"/>
      <c r="AB149" s="44"/>
      <c r="AC149" s="119"/>
      <c r="AD149" s="120"/>
      <c r="AE149" s="120"/>
      <c r="AF149" s="120"/>
      <c r="AG149" s="120"/>
      <c r="AH149" s="120"/>
      <c r="AI149" s="120"/>
      <c r="AJ149" s="120"/>
      <c r="AK149" s="120"/>
      <c r="AL149" s="120"/>
      <c r="AM149" s="120"/>
      <c r="AN149" s="120"/>
      <c r="AO149" s="120"/>
      <c r="AP149" s="120"/>
      <c r="AQ149" s="120"/>
      <c r="AR149" s="120"/>
      <c r="AS149" s="120"/>
      <c r="AT149" s="120"/>
      <c r="AU149" s="120"/>
      <c r="AV149" s="120"/>
      <c r="AW149" s="121"/>
      <c r="AY149" s="34"/>
      <c r="BG149" s="98"/>
    </row>
    <row r="150" spans="3:62" ht="11.1" customHeight="1" x14ac:dyDescent="0.2">
      <c r="C150" s="29"/>
      <c r="D150" s="59"/>
      <c r="F150" s="69"/>
      <c r="G150" s="119"/>
      <c r="H150" s="120"/>
      <c r="I150" s="120"/>
      <c r="J150" s="120"/>
      <c r="K150" s="120"/>
      <c r="L150" s="120"/>
      <c r="M150" s="120"/>
      <c r="N150" s="120"/>
      <c r="O150" s="120"/>
      <c r="P150" s="120"/>
      <c r="Q150" s="120"/>
      <c r="R150" s="120"/>
      <c r="S150" s="120"/>
      <c r="T150" s="120"/>
      <c r="U150" s="120"/>
      <c r="V150" s="120"/>
      <c r="W150" s="120"/>
      <c r="X150" s="120"/>
      <c r="Y150" s="120"/>
      <c r="Z150" s="120"/>
      <c r="AA150" s="121"/>
      <c r="AB150" s="44"/>
      <c r="AC150" s="119"/>
      <c r="AD150" s="120"/>
      <c r="AE150" s="120"/>
      <c r="AF150" s="120"/>
      <c r="AG150" s="120"/>
      <c r="AH150" s="120"/>
      <c r="AI150" s="120"/>
      <c r="AJ150" s="120"/>
      <c r="AK150" s="120"/>
      <c r="AL150" s="120"/>
      <c r="AM150" s="120"/>
      <c r="AN150" s="120"/>
      <c r="AO150" s="120"/>
      <c r="AP150" s="120"/>
      <c r="AQ150" s="120"/>
      <c r="AR150" s="120"/>
      <c r="AS150" s="120"/>
      <c r="AT150" s="120"/>
      <c r="AU150" s="120"/>
      <c r="AV150" s="120"/>
      <c r="AW150" s="121"/>
      <c r="AY150" s="34"/>
      <c r="BB150" s="98"/>
      <c r="BG150" s="98"/>
    </row>
    <row r="151" spans="3:62" ht="11.1" customHeight="1" x14ac:dyDescent="0.2">
      <c r="C151" s="29"/>
      <c r="D151" s="59"/>
      <c r="F151" s="69"/>
      <c r="G151" s="119"/>
      <c r="H151" s="120"/>
      <c r="I151" s="120"/>
      <c r="J151" s="120"/>
      <c r="K151" s="120"/>
      <c r="L151" s="120"/>
      <c r="M151" s="120"/>
      <c r="N151" s="120"/>
      <c r="O151" s="120"/>
      <c r="P151" s="120"/>
      <c r="Q151" s="120"/>
      <c r="R151" s="120"/>
      <c r="S151" s="120"/>
      <c r="T151" s="120"/>
      <c r="U151" s="120"/>
      <c r="V151" s="120"/>
      <c r="W151" s="120"/>
      <c r="X151" s="120"/>
      <c r="Y151" s="120"/>
      <c r="Z151" s="120"/>
      <c r="AA151" s="121"/>
      <c r="AB151" s="44"/>
      <c r="AC151" s="119"/>
      <c r="AD151" s="120"/>
      <c r="AE151" s="120"/>
      <c r="AF151" s="120"/>
      <c r="AG151" s="120"/>
      <c r="AH151" s="120"/>
      <c r="AI151" s="120"/>
      <c r="AJ151" s="120"/>
      <c r="AK151" s="120"/>
      <c r="AL151" s="120"/>
      <c r="AM151" s="120"/>
      <c r="AN151" s="120"/>
      <c r="AO151" s="120"/>
      <c r="AP151" s="120"/>
      <c r="AQ151" s="120"/>
      <c r="AR151" s="120"/>
      <c r="AS151" s="120"/>
      <c r="AT151" s="120"/>
      <c r="AU151" s="120"/>
      <c r="AV151" s="120"/>
      <c r="AW151" s="121"/>
      <c r="AY151" s="34"/>
      <c r="BG151" s="100"/>
    </row>
    <row r="152" spans="3:62" ht="11.1" customHeight="1" x14ac:dyDescent="0.2">
      <c r="C152" s="29"/>
      <c r="D152" s="59"/>
      <c r="F152" s="69"/>
      <c r="G152" s="119"/>
      <c r="H152" s="120"/>
      <c r="I152" s="120"/>
      <c r="J152" s="120"/>
      <c r="K152" s="120"/>
      <c r="L152" s="120"/>
      <c r="M152" s="120"/>
      <c r="N152" s="120"/>
      <c r="O152" s="120"/>
      <c r="P152" s="120"/>
      <c r="Q152" s="120"/>
      <c r="R152" s="120"/>
      <c r="S152" s="120"/>
      <c r="T152" s="120"/>
      <c r="U152" s="120"/>
      <c r="V152" s="120"/>
      <c r="W152" s="120"/>
      <c r="X152" s="120"/>
      <c r="Y152" s="120"/>
      <c r="Z152" s="120"/>
      <c r="AA152" s="121"/>
      <c r="AB152" s="44"/>
      <c r="AC152" s="119"/>
      <c r="AD152" s="120"/>
      <c r="AE152" s="120"/>
      <c r="AF152" s="120"/>
      <c r="AG152" s="120"/>
      <c r="AH152" s="120"/>
      <c r="AI152" s="120"/>
      <c r="AJ152" s="120"/>
      <c r="AK152" s="120"/>
      <c r="AL152" s="120"/>
      <c r="AM152" s="120"/>
      <c r="AN152" s="120"/>
      <c r="AO152" s="120"/>
      <c r="AP152" s="120"/>
      <c r="AQ152" s="120"/>
      <c r="AR152" s="120"/>
      <c r="AS152" s="120"/>
      <c r="AT152" s="120"/>
      <c r="AU152" s="120"/>
      <c r="AV152" s="120"/>
      <c r="AW152" s="121"/>
      <c r="AY152" s="34"/>
    </row>
    <row r="153" spans="3:62" ht="11.1" customHeight="1" x14ac:dyDescent="0.2">
      <c r="C153" s="29"/>
      <c r="D153" s="59"/>
      <c r="F153" s="69"/>
      <c r="G153" s="119"/>
      <c r="H153" s="120"/>
      <c r="I153" s="120"/>
      <c r="J153" s="120"/>
      <c r="K153" s="120"/>
      <c r="L153" s="120"/>
      <c r="M153" s="120"/>
      <c r="N153" s="120"/>
      <c r="O153" s="120"/>
      <c r="P153" s="120"/>
      <c r="Q153" s="120"/>
      <c r="R153" s="120"/>
      <c r="S153" s="120"/>
      <c r="T153" s="120"/>
      <c r="U153" s="120"/>
      <c r="V153" s="120"/>
      <c r="W153" s="120"/>
      <c r="X153" s="120"/>
      <c r="Y153" s="120"/>
      <c r="Z153" s="120"/>
      <c r="AA153" s="121"/>
      <c r="AB153" s="44"/>
      <c r="AC153" s="119"/>
      <c r="AD153" s="120"/>
      <c r="AE153" s="120"/>
      <c r="AF153" s="120"/>
      <c r="AG153" s="120"/>
      <c r="AH153" s="120"/>
      <c r="AI153" s="120"/>
      <c r="AJ153" s="120"/>
      <c r="AK153" s="120"/>
      <c r="AL153" s="120"/>
      <c r="AM153" s="120"/>
      <c r="AN153" s="120"/>
      <c r="AO153" s="120"/>
      <c r="AP153" s="120"/>
      <c r="AQ153" s="120"/>
      <c r="AR153" s="120"/>
      <c r="AS153" s="120"/>
      <c r="AT153" s="120"/>
      <c r="AU153" s="120"/>
      <c r="AV153" s="120"/>
      <c r="AW153" s="121"/>
      <c r="AY153" s="34"/>
    </row>
    <row r="154" spans="3:62" ht="11.1" customHeight="1" x14ac:dyDescent="0.2">
      <c r="C154" s="29"/>
      <c r="D154" s="59"/>
      <c r="F154" s="69"/>
      <c r="G154" s="119"/>
      <c r="H154" s="120"/>
      <c r="I154" s="120"/>
      <c r="J154" s="120"/>
      <c r="K154" s="120"/>
      <c r="L154" s="120"/>
      <c r="M154" s="120"/>
      <c r="N154" s="120"/>
      <c r="O154" s="120"/>
      <c r="P154" s="120"/>
      <c r="Q154" s="120"/>
      <c r="R154" s="120"/>
      <c r="S154" s="120"/>
      <c r="T154" s="120"/>
      <c r="U154" s="120"/>
      <c r="V154" s="120"/>
      <c r="W154" s="120"/>
      <c r="X154" s="120"/>
      <c r="Y154" s="120"/>
      <c r="Z154" s="120"/>
      <c r="AA154" s="121"/>
      <c r="AB154" s="44"/>
      <c r="AC154" s="119"/>
      <c r="AD154" s="120"/>
      <c r="AE154" s="120"/>
      <c r="AF154" s="120"/>
      <c r="AG154" s="120"/>
      <c r="AH154" s="120"/>
      <c r="AI154" s="120"/>
      <c r="AJ154" s="120"/>
      <c r="AK154" s="120"/>
      <c r="AL154" s="120"/>
      <c r="AM154" s="120"/>
      <c r="AN154" s="120"/>
      <c r="AO154" s="120"/>
      <c r="AP154" s="120"/>
      <c r="AQ154" s="120"/>
      <c r="AR154" s="120"/>
      <c r="AS154" s="120"/>
      <c r="AT154" s="120"/>
      <c r="AU154" s="120"/>
      <c r="AV154" s="120"/>
      <c r="AW154" s="121"/>
      <c r="AY154" s="34"/>
    </row>
    <row r="155" spans="3:62" ht="11.1" customHeight="1" x14ac:dyDescent="0.2">
      <c r="C155" s="29"/>
      <c r="D155" s="59"/>
      <c r="F155" s="69"/>
      <c r="G155" s="119"/>
      <c r="H155" s="120"/>
      <c r="I155" s="120"/>
      <c r="J155" s="120"/>
      <c r="K155" s="120"/>
      <c r="L155" s="120"/>
      <c r="M155" s="120"/>
      <c r="N155" s="120"/>
      <c r="O155" s="120"/>
      <c r="P155" s="120"/>
      <c r="Q155" s="120"/>
      <c r="R155" s="120"/>
      <c r="S155" s="120"/>
      <c r="T155" s="120"/>
      <c r="U155" s="120"/>
      <c r="V155" s="120"/>
      <c r="W155" s="120"/>
      <c r="X155" s="120"/>
      <c r="Y155" s="120"/>
      <c r="Z155" s="120"/>
      <c r="AA155" s="121"/>
      <c r="AB155" s="44"/>
      <c r="AC155" s="119"/>
      <c r="AD155" s="120"/>
      <c r="AE155" s="120"/>
      <c r="AF155" s="120"/>
      <c r="AG155" s="120"/>
      <c r="AH155" s="120"/>
      <c r="AI155" s="120"/>
      <c r="AJ155" s="120"/>
      <c r="AK155" s="120"/>
      <c r="AL155" s="120"/>
      <c r="AM155" s="120"/>
      <c r="AN155" s="120"/>
      <c r="AO155" s="120"/>
      <c r="AP155" s="120"/>
      <c r="AQ155" s="120"/>
      <c r="AR155" s="120"/>
      <c r="AS155" s="120"/>
      <c r="AT155" s="120"/>
      <c r="AU155" s="120"/>
      <c r="AV155" s="120"/>
      <c r="AW155" s="121"/>
      <c r="AY155" s="34"/>
    </row>
    <row r="156" spans="3:62" ht="11.1" customHeight="1" x14ac:dyDescent="0.2">
      <c r="C156" s="29"/>
      <c r="D156" s="59"/>
      <c r="F156" s="69"/>
      <c r="G156" s="119"/>
      <c r="H156" s="120"/>
      <c r="I156" s="120"/>
      <c r="J156" s="120"/>
      <c r="K156" s="120"/>
      <c r="L156" s="120"/>
      <c r="M156" s="120"/>
      <c r="N156" s="120"/>
      <c r="O156" s="120"/>
      <c r="P156" s="120"/>
      <c r="Q156" s="120"/>
      <c r="R156" s="120"/>
      <c r="S156" s="120"/>
      <c r="T156" s="120"/>
      <c r="U156" s="120"/>
      <c r="V156" s="120"/>
      <c r="W156" s="120"/>
      <c r="X156" s="120"/>
      <c r="Y156" s="120"/>
      <c r="Z156" s="120"/>
      <c r="AA156" s="121"/>
      <c r="AB156" s="44"/>
      <c r="AC156" s="119"/>
      <c r="AD156" s="120"/>
      <c r="AE156" s="120"/>
      <c r="AF156" s="120"/>
      <c r="AG156" s="120"/>
      <c r="AH156" s="120"/>
      <c r="AI156" s="120"/>
      <c r="AJ156" s="120"/>
      <c r="AK156" s="120"/>
      <c r="AL156" s="120"/>
      <c r="AM156" s="120"/>
      <c r="AN156" s="120"/>
      <c r="AO156" s="120"/>
      <c r="AP156" s="120"/>
      <c r="AQ156" s="120"/>
      <c r="AR156" s="120"/>
      <c r="AS156" s="120"/>
      <c r="AT156" s="120"/>
      <c r="AU156" s="120"/>
      <c r="AV156" s="120"/>
      <c r="AW156" s="121"/>
      <c r="AY156" s="34"/>
    </row>
    <row r="157" spans="3:62" ht="11.1" customHeight="1" x14ac:dyDescent="0.2">
      <c r="C157" s="29"/>
      <c r="D157" s="59"/>
      <c r="F157" s="69"/>
      <c r="G157" s="119"/>
      <c r="H157" s="120"/>
      <c r="I157" s="120"/>
      <c r="J157" s="120"/>
      <c r="K157" s="120"/>
      <c r="L157" s="120"/>
      <c r="M157" s="120"/>
      <c r="N157" s="120"/>
      <c r="O157" s="120"/>
      <c r="P157" s="120"/>
      <c r="Q157" s="120"/>
      <c r="R157" s="120"/>
      <c r="S157" s="120"/>
      <c r="T157" s="120"/>
      <c r="U157" s="120"/>
      <c r="V157" s="120"/>
      <c r="W157" s="120"/>
      <c r="X157" s="120"/>
      <c r="Y157" s="120"/>
      <c r="Z157" s="120"/>
      <c r="AA157" s="121"/>
      <c r="AB157" s="44"/>
      <c r="AC157" s="119"/>
      <c r="AD157" s="120"/>
      <c r="AE157" s="120"/>
      <c r="AF157" s="120"/>
      <c r="AG157" s="120"/>
      <c r="AH157" s="120"/>
      <c r="AI157" s="120"/>
      <c r="AJ157" s="120"/>
      <c r="AK157" s="120"/>
      <c r="AL157" s="120"/>
      <c r="AM157" s="120"/>
      <c r="AN157" s="120"/>
      <c r="AO157" s="120"/>
      <c r="AP157" s="120"/>
      <c r="AQ157" s="120"/>
      <c r="AR157" s="120"/>
      <c r="AS157" s="120"/>
      <c r="AT157" s="120"/>
      <c r="AU157" s="120"/>
      <c r="AV157" s="120"/>
      <c r="AW157" s="121"/>
      <c r="AY157" s="34"/>
    </row>
    <row r="158" spans="3:62" ht="11.1" customHeight="1" x14ac:dyDescent="0.2">
      <c r="C158" s="29"/>
      <c r="D158" s="59"/>
      <c r="F158" s="69"/>
      <c r="G158" s="119"/>
      <c r="H158" s="120"/>
      <c r="I158" s="120"/>
      <c r="J158" s="120"/>
      <c r="K158" s="120"/>
      <c r="L158" s="120"/>
      <c r="M158" s="120"/>
      <c r="N158" s="120"/>
      <c r="O158" s="120"/>
      <c r="P158" s="120"/>
      <c r="Q158" s="120"/>
      <c r="R158" s="120"/>
      <c r="S158" s="120"/>
      <c r="T158" s="120"/>
      <c r="U158" s="120"/>
      <c r="V158" s="120"/>
      <c r="W158" s="120"/>
      <c r="X158" s="120"/>
      <c r="Y158" s="120"/>
      <c r="Z158" s="120"/>
      <c r="AA158" s="121"/>
      <c r="AB158" s="44"/>
      <c r="AC158" s="119"/>
      <c r="AD158" s="120"/>
      <c r="AE158" s="120"/>
      <c r="AF158" s="120"/>
      <c r="AG158" s="120"/>
      <c r="AH158" s="120"/>
      <c r="AI158" s="120"/>
      <c r="AJ158" s="120"/>
      <c r="AK158" s="120"/>
      <c r="AL158" s="120"/>
      <c r="AM158" s="120"/>
      <c r="AN158" s="120"/>
      <c r="AO158" s="120"/>
      <c r="AP158" s="120"/>
      <c r="AQ158" s="120"/>
      <c r="AR158" s="120"/>
      <c r="AS158" s="120"/>
      <c r="AT158" s="120"/>
      <c r="AU158" s="120"/>
      <c r="AV158" s="120"/>
      <c r="AW158" s="121"/>
      <c r="AY158" s="34"/>
    </row>
    <row r="159" spans="3:62" ht="11.1" customHeight="1" x14ac:dyDescent="0.2">
      <c r="C159" s="29"/>
      <c r="D159" s="59"/>
      <c r="F159" s="69"/>
      <c r="G159" s="119"/>
      <c r="H159" s="120"/>
      <c r="I159" s="120"/>
      <c r="J159" s="120"/>
      <c r="K159" s="120"/>
      <c r="L159" s="120"/>
      <c r="M159" s="120"/>
      <c r="N159" s="120"/>
      <c r="O159" s="120"/>
      <c r="P159" s="120"/>
      <c r="Q159" s="120"/>
      <c r="R159" s="120"/>
      <c r="S159" s="120"/>
      <c r="T159" s="120"/>
      <c r="U159" s="120"/>
      <c r="V159" s="120"/>
      <c r="W159" s="120"/>
      <c r="X159" s="120"/>
      <c r="Y159" s="120"/>
      <c r="Z159" s="120"/>
      <c r="AA159" s="121"/>
      <c r="AB159" s="44"/>
      <c r="AC159" s="119"/>
      <c r="AD159" s="120"/>
      <c r="AE159" s="120"/>
      <c r="AF159" s="120"/>
      <c r="AG159" s="120"/>
      <c r="AH159" s="120"/>
      <c r="AI159" s="120"/>
      <c r="AJ159" s="120"/>
      <c r="AK159" s="120"/>
      <c r="AL159" s="120"/>
      <c r="AM159" s="120"/>
      <c r="AN159" s="120"/>
      <c r="AO159" s="120"/>
      <c r="AP159" s="120"/>
      <c r="AQ159" s="120"/>
      <c r="AR159" s="120"/>
      <c r="AS159" s="120"/>
      <c r="AT159" s="120"/>
      <c r="AU159" s="120"/>
      <c r="AV159" s="120"/>
      <c r="AW159" s="121"/>
      <c r="AY159" s="34"/>
    </row>
    <row r="160" spans="3:62" ht="11.1" customHeight="1" x14ac:dyDescent="0.2">
      <c r="C160" s="29"/>
      <c r="D160" s="59"/>
      <c r="F160" s="69"/>
      <c r="G160" s="122"/>
      <c r="H160" s="123"/>
      <c r="I160" s="123"/>
      <c r="J160" s="123"/>
      <c r="K160" s="123"/>
      <c r="L160" s="123"/>
      <c r="M160" s="123"/>
      <c r="N160" s="123"/>
      <c r="O160" s="123"/>
      <c r="P160" s="123"/>
      <c r="Q160" s="123"/>
      <c r="R160" s="123"/>
      <c r="S160" s="123"/>
      <c r="T160" s="123"/>
      <c r="U160" s="123"/>
      <c r="V160" s="123"/>
      <c r="W160" s="123"/>
      <c r="X160" s="123"/>
      <c r="Y160" s="123"/>
      <c r="Z160" s="123"/>
      <c r="AA160" s="124"/>
      <c r="AB160" s="44"/>
      <c r="AC160" s="122"/>
      <c r="AD160" s="123"/>
      <c r="AE160" s="123"/>
      <c r="AF160" s="123"/>
      <c r="AG160" s="123"/>
      <c r="AH160" s="123"/>
      <c r="AI160" s="123"/>
      <c r="AJ160" s="123"/>
      <c r="AK160" s="123"/>
      <c r="AL160" s="123"/>
      <c r="AM160" s="123"/>
      <c r="AN160" s="123"/>
      <c r="AO160" s="123"/>
      <c r="AP160" s="123"/>
      <c r="AQ160" s="123"/>
      <c r="AR160" s="123"/>
      <c r="AS160" s="123"/>
      <c r="AT160" s="123"/>
      <c r="AU160" s="123"/>
      <c r="AV160" s="123"/>
      <c r="AW160" s="124"/>
      <c r="AY160" s="34"/>
    </row>
    <row r="161" spans="3:51" ht="11.1" customHeight="1" x14ac:dyDescent="0.2">
      <c r="C161" s="29"/>
      <c r="D161" s="59"/>
      <c r="F161" s="69"/>
      <c r="G161" s="116"/>
      <c r="H161" s="117"/>
      <c r="I161" s="117"/>
      <c r="J161" s="117"/>
      <c r="K161" s="117"/>
      <c r="L161" s="117"/>
      <c r="M161" s="117"/>
      <c r="N161" s="117"/>
      <c r="O161" s="117"/>
      <c r="P161" s="117"/>
      <c r="Q161" s="117"/>
      <c r="R161" s="117"/>
      <c r="S161" s="117"/>
      <c r="T161" s="117"/>
      <c r="U161" s="117"/>
      <c r="V161" s="117"/>
      <c r="W161" s="117"/>
      <c r="X161" s="117"/>
      <c r="Y161" s="117"/>
      <c r="Z161" s="117"/>
      <c r="AA161" s="118"/>
      <c r="AB161" s="44"/>
      <c r="AC161" s="116"/>
      <c r="AD161" s="117"/>
      <c r="AE161" s="117"/>
      <c r="AF161" s="117"/>
      <c r="AG161" s="117"/>
      <c r="AH161" s="117"/>
      <c r="AI161" s="117"/>
      <c r="AJ161" s="117"/>
      <c r="AK161" s="117"/>
      <c r="AL161" s="117"/>
      <c r="AM161" s="117"/>
      <c r="AN161" s="117"/>
      <c r="AO161" s="117"/>
      <c r="AP161" s="117"/>
      <c r="AQ161" s="117"/>
      <c r="AR161" s="117"/>
      <c r="AS161" s="117"/>
      <c r="AT161" s="117"/>
      <c r="AU161" s="117"/>
      <c r="AV161" s="117"/>
      <c r="AW161" s="118"/>
      <c r="AY161" s="34"/>
    </row>
    <row r="162" spans="3:51" ht="11.1" customHeight="1" x14ac:dyDescent="0.2">
      <c r="C162" s="29"/>
      <c r="D162" s="59"/>
      <c r="F162" s="69"/>
      <c r="G162" s="119"/>
      <c r="H162" s="120"/>
      <c r="I162" s="120"/>
      <c r="J162" s="120"/>
      <c r="K162" s="120"/>
      <c r="L162" s="120"/>
      <c r="M162" s="120"/>
      <c r="N162" s="120"/>
      <c r="O162" s="120"/>
      <c r="P162" s="120"/>
      <c r="Q162" s="120"/>
      <c r="R162" s="120"/>
      <c r="S162" s="120"/>
      <c r="T162" s="120"/>
      <c r="U162" s="120"/>
      <c r="V162" s="120"/>
      <c r="W162" s="120"/>
      <c r="X162" s="120"/>
      <c r="Y162" s="120"/>
      <c r="Z162" s="120"/>
      <c r="AA162" s="121"/>
      <c r="AB162" s="44"/>
      <c r="AC162" s="119"/>
      <c r="AD162" s="120"/>
      <c r="AE162" s="120"/>
      <c r="AF162" s="120"/>
      <c r="AG162" s="120"/>
      <c r="AH162" s="120"/>
      <c r="AI162" s="120"/>
      <c r="AJ162" s="120"/>
      <c r="AK162" s="120"/>
      <c r="AL162" s="120"/>
      <c r="AM162" s="120"/>
      <c r="AN162" s="120"/>
      <c r="AO162" s="120"/>
      <c r="AP162" s="120"/>
      <c r="AQ162" s="120"/>
      <c r="AR162" s="120"/>
      <c r="AS162" s="120"/>
      <c r="AT162" s="120"/>
      <c r="AU162" s="120"/>
      <c r="AV162" s="120"/>
      <c r="AW162" s="121"/>
      <c r="AY162" s="34"/>
    </row>
    <row r="163" spans="3:51" ht="11.1" customHeight="1" x14ac:dyDescent="0.2">
      <c r="C163" s="29"/>
      <c r="D163" s="59"/>
      <c r="F163" s="69"/>
      <c r="G163" s="119"/>
      <c r="H163" s="120"/>
      <c r="I163" s="120"/>
      <c r="J163" s="120"/>
      <c r="K163" s="120"/>
      <c r="L163" s="120"/>
      <c r="M163" s="120"/>
      <c r="N163" s="120"/>
      <c r="O163" s="120"/>
      <c r="P163" s="120"/>
      <c r="Q163" s="120"/>
      <c r="R163" s="120"/>
      <c r="S163" s="120"/>
      <c r="T163" s="120"/>
      <c r="U163" s="120"/>
      <c r="V163" s="120"/>
      <c r="W163" s="120"/>
      <c r="X163" s="120"/>
      <c r="Y163" s="120"/>
      <c r="Z163" s="120"/>
      <c r="AA163" s="121"/>
      <c r="AB163" s="44"/>
      <c r="AC163" s="119"/>
      <c r="AD163" s="120"/>
      <c r="AE163" s="120"/>
      <c r="AF163" s="120"/>
      <c r="AG163" s="120"/>
      <c r="AH163" s="120"/>
      <c r="AI163" s="120"/>
      <c r="AJ163" s="120"/>
      <c r="AK163" s="120"/>
      <c r="AL163" s="120"/>
      <c r="AM163" s="120"/>
      <c r="AN163" s="120"/>
      <c r="AO163" s="120"/>
      <c r="AP163" s="120"/>
      <c r="AQ163" s="120"/>
      <c r="AR163" s="120"/>
      <c r="AS163" s="120"/>
      <c r="AT163" s="120"/>
      <c r="AU163" s="120"/>
      <c r="AV163" s="120"/>
      <c r="AW163" s="121"/>
      <c r="AY163" s="34"/>
    </row>
    <row r="164" spans="3:51" ht="11.1" customHeight="1" x14ac:dyDescent="0.2">
      <c r="C164" s="29"/>
      <c r="D164" s="59"/>
      <c r="F164" s="69"/>
      <c r="G164" s="119"/>
      <c r="H164" s="120"/>
      <c r="I164" s="120"/>
      <c r="J164" s="120"/>
      <c r="K164" s="120"/>
      <c r="L164" s="120"/>
      <c r="M164" s="120"/>
      <c r="N164" s="120"/>
      <c r="O164" s="120"/>
      <c r="P164" s="120"/>
      <c r="Q164" s="120"/>
      <c r="R164" s="120"/>
      <c r="S164" s="120"/>
      <c r="T164" s="120"/>
      <c r="U164" s="120"/>
      <c r="V164" s="120"/>
      <c r="W164" s="120"/>
      <c r="X164" s="120"/>
      <c r="Y164" s="120"/>
      <c r="Z164" s="120"/>
      <c r="AA164" s="121"/>
      <c r="AB164" s="44"/>
      <c r="AC164" s="119"/>
      <c r="AD164" s="120"/>
      <c r="AE164" s="120"/>
      <c r="AF164" s="120"/>
      <c r="AG164" s="120"/>
      <c r="AH164" s="120"/>
      <c r="AI164" s="120"/>
      <c r="AJ164" s="120"/>
      <c r="AK164" s="120"/>
      <c r="AL164" s="120"/>
      <c r="AM164" s="120"/>
      <c r="AN164" s="120"/>
      <c r="AO164" s="120"/>
      <c r="AP164" s="120"/>
      <c r="AQ164" s="120"/>
      <c r="AR164" s="120"/>
      <c r="AS164" s="120"/>
      <c r="AT164" s="120"/>
      <c r="AU164" s="120"/>
      <c r="AV164" s="120"/>
      <c r="AW164" s="121"/>
      <c r="AY164" s="34"/>
    </row>
    <row r="165" spans="3:51" ht="11.1" customHeight="1" x14ac:dyDescent="0.2">
      <c r="C165" s="29"/>
      <c r="D165" s="59"/>
      <c r="F165" s="69"/>
      <c r="G165" s="119"/>
      <c r="H165" s="120"/>
      <c r="I165" s="120"/>
      <c r="J165" s="120"/>
      <c r="K165" s="120"/>
      <c r="L165" s="120"/>
      <c r="M165" s="120"/>
      <c r="N165" s="120"/>
      <c r="O165" s="120"/>
      <c r="P165" s="120"/>
      <c r="Q165" s="120"/>
      <c r="R165" s="120"/>
      <c r="S165" s="120"/>
      <c r="T165" s="120"/>
      <c r="U165" s="120"/>
      <c r="V165" s="120"/>
      <c r="W165" s="120"/>
      <c r="X165" s="120"/>
      <c r="Y165" s="120"/>
      <c r="Z165" s="120"/>
      <c r="AA165" s="121"/>
      <c r="AB165" s="44"/>
      <c r="AC165" s="119"/>
      <c r="AD165" s="120"/>
      <c r="AE165" s="120"/>
      <c r="AF165" s="120"/>
      <c r="AG165" s="120"/>
      <c r="AH165" s="120"/>
      <c r="AI165" s="120"/>
      <c r="AJ165" s="120"/>
      <c r="AK165" s="120"/>
      <c r="AL165" s="120"/>
      <c r="AM165" s="120"/>
      <c r="AN165" s="120"/>
      <c r="AO165" s="120"/>
      <c r="AP165" s="120"/>
      <c r="AQ165" s="120"/>
      <c r="AR165" s="120"/>
      <c r="AS165" s="120"/>
      <c r="AT165" s="120"/>
      <c r="AU165" s="120"/>
      <c r="AV165" s="120"/>
      <c r="AW165" s="121"/>
      <c r="AY165" s="34"/>
    </row>
    <row r="166" spans="3:51" ht="11.1" customHeight="1" x14ac:dyDescent="0.2">
      <c r="C166" s="29"/>
      <c r="D166" s="59"/>
      <c r="F166" s="69"/>
      <c r="G166" s="119"/>
      <c r="H166" s="120"/>
      <c r="I166" s="120"/>
      <c r="J166" s="120"/>
      <c r="K166" s="120"/>
      <c r="L166" s="120"/>
      <c r="M166" s="120"/>
      <c r="N166" s="120"/>
      <c r="O166" s="120"/>
      <c r="P166" s="120"/>
      <c r="Q166" s="120"/>
      <c r="R166" s="120"/>
      <c r="S166" s="120"/>
      <c r="T166" s="120"/>
      <c r="U166" s="120"/>
      <c r="V166" s="120"/>
      <c r="W166" s="120"/>
      <c r="X166" s="120"/>
      <c r="Y166" s="120"/>
      <c r="Z166" s="120"/>
      <c r="AA166" s="121"/>
      <c r="AB166" s="44"/>
      <c r="AC166" s="119"/>
      <c r="AD166" s="120"/>
      <c r="AE166" s="120"/>
      <c r="AF166" s="120"/>
      <c r="AG166" s="120"/>
      <c r="AH166" s="120"/>
      <c r="AI166" s="120"/>
      <c r="AJ166" s="120"/>
      <c r="AK166" s="120"/>
      <c r="AL166" s="120"/>
      <c r="AM166" s="120"/>
      <c r="AN166" s="120"/>
      <c r="AO166" s="120"/>
      <c r="AP166" s="120"/>
      <c r="AQ166" s="120"/>
      <c r="AR166" s="120"/>
      <c r="AS166" s="120"/>
      <c r="AT166" s="120"/>
      <c r="AU166" s="120"/>
      <c r="AV166" s="120"/>
      <c r="AW166" s="121"/>
      <c r="AY166" s="34"/>
    </row>
    <row r="167" spans="3:51" ht="11.1" customHeight="1" x14ac:dyDescent="0.2">
      <c r="C167" s="29"/>
      <c r="D167" s="59"/>
      <c r="F167" s="69"/>
      <c r="G167" s="119"/>
      <c r="H167" s="120"/>
      <c r="I167" s="120"/>
      <c r="J167" s="120"/>
      <c r="K167" s="120"/>
      <c r="L167" s="120"/>
      <c r="M167" s="120"/>
      <c r="N167" s="120"/>
      <c r="O167" s="120"/>
      <c r="P167" s="120"/>
      <c r="Q167" s="120"/>
      <c r="R167" s="120"/>
      <c r="S167" s="120"/>
      <c r="T167" s="120"/>
      <c r="U167" s="120"/>
      <c r="V167" s="120"/>
      <c r="W167" s="120"/>
      <c r="X167" s="120"/>
      <c r="Y167" s="120"/>
      <c r="Z167" s="120"/>
      <c r="AA167" s="121"/>
      <c r="AB167" s="44"/>
      <c r="AC167" s="119"/>
      <c r="AD167" s="120"/>
      <c r="AE167" s="120"/>
      <c r="AF167" s="120"/>
      <c r="AG167" s="120"/>
      <c r="AH167" s="120"/>
      <c r="AI167" s="120"/>
      <c r="AJ167" s="120"/>
      <c r="AK167" s="120"/>
      <c r="AL167" s="120"/>
      <c r="AM167" s="120"/>
      <c r="AN167" s="120"/>
      <c r="AO167" s="120"/>
      <c r="AP167" s="120"/>
      <c r="AQ167" s="120"/>
      <c r="AR167" s="120"/>
      <c r="AS167" s="120"/>
      <c r="AT167" s="120"/>
      <c r="AU167" s="120"/>
      <c r="AV167" s="120"/>
      <c r="AW167" s="121"/>
      <c r="AY167" s="34"/>
    </row>
    <row r="168" spans="3:51" ht="11.1" customHeight="1" x14ac:dyDescent="0.2">
      <c r="C168" s="29"/>
      <c r="D168" s="59"/>
      <c r="F168" s="69"/>
      <c r="G168" s="119"/>
      <c r="H168" s="120"/>
      <c r="I168" s="120"/>
      <c r="J168" s="120"/>
      <c r="K168" s="120"/>
      <c r="L168" s="120"/>
      <c r="M168" s="120"/>
      <c r="N168" s="120"/>
      <c r="O168" s="120"/>
      <c r="P168" s="120"/>
      <c r="Q168" s="120"/>
      <c r="R168" s="120"/>
      <c r="S168" s="120"/>
      <c r="T168" s="120"/>
      <c r="U168" s="120"/>
      <c r="V168" s="120"/>
      <c r="W168" s="120"/>
      <c r="X168" s="120"/>
      <c r="Y168" s="120"/>
      <c r="Z168" s="120"/>
      <c r="AA168" s="121"/>
      <c r="AB168" s="44"/>
      <c r="AC168" s="119"/>
      <c r="AD168" s="120"/>
      <c r="AE168" s="120"/>
      <c r="AF168" s="120"/>
      <c r="AG168" s="120"/>
      <c r="AH168" s="120"/>
      <c r="AI168" s="120"/>
      <c r="AJ168" s="120"/>
      <c r="AK168" s="120"/>
      <c r="AL168" s="120"/>
      <c r="AM168" s="120"/>
      <c r="AN168" s="120"/>
      <c r="AO168" s="120"/>
      <c r="AP168" s="120"/>
      <c r="AQ168" s="120"/>
      <c r="AR168" s="120"/>
      <c r="AS168" s="120"/>
      <c r="AT168" s="120"/>
      <c r="AU168" s="120"/>
      <c r="AV168" s="120"/>
      <c r="AW168" s="121"/>
      <c r="AY168" s="34"/>
    </row>
    <row r="169" spans="3:51" ht="11.1" customHeight="1" x14ac:dyDescent="0.2">
      <c r="C169" s="29"/>
      <c r="D169" s="59"/>
      <c r="F169" s="69"/>
      <c r="G169" s="119"/>
      <c r="H169" s="120"/>
      <c r="I169" s="120"/>
      <c r="J169" s="120"/>
      <c r="K169" s="120"/>
      <c r="L169" s="120"/>
      <c r="M169" s="120"/>
      <c r="N169" s="120"/>
      <c r="O169" s="120"/>
      <c r="P169" s="120"/>
      <c r="Q169" s="120"/>
      <c r="R169" s="120"/>
      <c r="S169" s="120"/>
      <c r="T169" s="120"/>
      <c r="U169" s="120"/>
      <c r="V169" s="120"/>
      <c r="W169" s="120"/>
      <c r="X169" s="120"/>
      <c r="Y169" s="120"/>
      <c r="Z169" s="120"/>
      <c r="AA169" s="121"/>
      <c r="AB169" s="44"/>
      <c r="AC169" s="119"/>
      <c r="AD169" s="120"/>
      <c r="AE169" s="120"/>
      <c r="AF169" s="120"/>
      <c r="AG169" s="120"/>
      <c r="AH169" s="120"/>
      <c r="AI169" s="120"/>
      <c r="AJ169" s="120"/>
      <c r="AK169" s="120"/>
      <c r="AL169" s="120"/>
      <c r="AM169" s="120"/>
      <c r="AN169" s="120"/>
      <c r="AO169" s="120"/>
      <c r="AP169" s="120"/>
      <c r="AQ169" s="120"/>
      <c r="AR169" s="120"/>
      <c r="AS169" s="120"/>
      <c r="AT169" s="120"/>
      <c r="AU169" s="120"/>
      <c r="AV169" s="120"/>
      <c r="AW169" s="121"/>
      <c r="AY169" s="34"/>
    </row>
    <row r="170" spans="3:51" ht="11.1" customHeight="1" x14ac:dyDescent="0.2">
      <c r="C170" s="29"/>
      <c r="D170" s="59"/>
      <c r="F170" s="69"/>
      <c r="G170" s="119"/>
      <c r="H170" s="120"/>
      <c r="I170" s="120"/>
      <c r="J170" s="120"/>
      <c r="K170" s="120"/>
      <c r="L170" s="120"/>
      <c r="M170" s="120"/>
      <c r="N170" s="120"/>
      <c r="O170" s="120"/>
      <c r="P170" s="120"/>
      <c r="Q170" s="120"/>
      <c r="R170" s="120"/>
      <c r="S170" s="120"/>
      <c r="T170" s="120"/>
      <c r="U170" s="120"/>
      <c r="V170" s="120"/>
      <c r="W170" s="120"/>
      <c r="X170" s="120"/>
      <c r="Y170" s="120"/>
      <c r="Z170" s="120"/>
      <c r="AA170" s="121"/>
      <c r="AB170" s="44"/>
      <c r="AC170" s="119"/>
      <c r="AD170" s="120"/>
      <c r="AE170" s="120"/>
      <c r="AF170" s="120"/>
      <c r="AG170" s="120"/>
      <c r="AH170" s="120"/>
      <c r="AI170" s="120"/>
      <c r="AJ170" s="120"/>
      <c r="AK170" s="120"/>
      <c r="AL170" s="120"/>
      <c r="AM170" s="120"/>
      <c r="AN170" s="120"/>
      <c r="AO170" s="120"/>
      <c r="AP170" s="120"/>
      <c r="AQ170" s="120"/>
      <c r="AR170" s="120"/>
      <c r="AS170" s="120"/>
      <c r="AT170" s="120"/>
      <c r="AU170" s="120"/>
      <c r="AV170" s="120"/>
      <c r="AW170" s="121"/>
      <c r="AY170" s="34"/>
    </row>
    <row r="171" spans="3:51" ht="11.1" customHeight="1" x14ac:dyDescent="0.2">
      <c r="C171" s="29"/>
      <c r="D171" s="59"/>
      <c r="F171" s="69"/>
      <c r="G171" s="119"/>
      <c r="H171" s="120"/>
      <c r="I171" s="120"/>
      <c r="J171" s="120"/>
      <c r="K171" s="120"/>
      <c r="L171" s="120"/>
      <c r="M171" s="120"/>
      <c r="N171" s="120"/>
      <c r="O171" s="120"/>
      <c r="P171" s="120"/>
      <c r="Q171" s="120"/>
      <c r="R171" s="120"/>
      <c r="S171" s="120"/>
      <c r="T171" s="120"/>
      <c r="U171" s="120"/>
      <c r="V171" s="120"/>
      <c r="W171" s="120"/>
      <c r="X171" s="120"/>
      <c r="Y171" s="120"/>
      <c r="Z171" s="120"/>
      <c r="AA171" s="121"/>
      <c r="AB171" s="44"/>
      <c r="AC171" s="119"/>
      <c r="AD171" s="120"/>
      <c r="AE171" s="120"/>
      <c r="AF171" s="120"/>
      <c r="AG171" s="120"/>
      <c r="AH171" s="120"/>
      <c r="AI171" s="120"/>
      <c r="AJ171" s="120"/>
      <c r="AK171" s="120"/>
      <c r="AL171" s="120"/>
      <c r="AM171" s="120"/>
      <c r="AN171" s="120"/>
      <c r="AO171" s="120"/>
      <c r="AP171" s="120"/>
      <c r="AQ171" s="120"/>
      <c r="AR171" s="120"/>
      <c r="AS171" s="120"/>
      <c r="AT171" s="120"/>
      <c r="AU171" s="120"/>
      <c r="AV171" s="120"/>
      <c r="AW171" s="121"/>
      <c r="AY171" s="34"/>
    </row>
    <row r="172" spans="3:51" ht="11.1" customHeight="1" x14ac:dyDescent="0.2">
      <c r="C172" s="29"/>
      <c r="D172" s="59"/>
      <c r="F172" s="69"/>
      <c r="G172" s="119"/>
      <c r="H172" s="120"/>
      <c r="I172" s="120"/>
      <c r="J172" s="120"/>
      <c r="K172" s="120"/>
      <c r="L172" s="120"/>
      <c r="M172" s="120"/>
      <c r="N172" s="120"/>
      <c r="O172" s="120"/>
      <c r="P172" s="120"/>
      <c r="Q172" s="120"/>
      <c r="R172" s="120"/>
      <c r="S172" s="120"/>
      <c r="T172" s="120"/>
      <c r="U172" s="120"/>
      <c r="V172" s="120"/>
      <c r="W172" s="120"/>
      <c r="X172" s="120"/>
      <c r="Y172" s="120"/>
      <c r="Z172" s="120"/>
      <c r="AA172" s="121"/>
      <c r="AB172" s="44"/>
      <c r="AC172" s="119"/>
      <c r="AD172" s="120"/>
      <c r="AE172" s="120"/>
      <c r="AF172" s="120"/>
      <c r="AG172" s="120"/>
      <c r="AH172" s="120"/>
      <c r="AI172" s="120"/>
      <c r="AJ172" s="120"/>
      <c r="AK172" s="120"/>
      <c r="AL172" s="120"/>
      <c r="AM172" s="120"/>
      <c r="AN172" s="120"/>
      <c r="AO172" s="120"/>
      <c r="AP172" s="120"/>
      <c r="AQ172" s="120"/>
      <c r="AR172" s="120"/>
      <c r="AS172" s="120"/>
      <c r="AT172" s="120"/>
      <c r="AU172" s="120"/>
      <c r="AV172" s="120"/>
      <c r="AW172" s="121"/>
      <c r="AY172" s="34"/>
    </row>
    <row r="173" spans="3:51" ht="11.1" customHeight="1" x14ac:dyDescent="0.2">
      <c r="C173" s="29"/>
      <c r="D173" s="59"/>
      <c r="F173" s="69"/>
      <c r="G173" s="119"/>
      <c r="H173" s="120"/>
      <c r="I173" s="120"/>
      <c r="J173" s="120"/>
      <c r="K173" s="120"/>
      <c r="L173" s="120"/>
      <c r="M173" s="120"/>
      <c r="N173" s="120"/>
      <c r="O173" s="120"/>
      <c r="P173" s="120"/>
      <c r="Q173" s="120"/>
      <c r="R173" s="120"/>
      <c r="S173" s="120"/>
      <c r="T173" s="120"/>
      <c r="U173" s="120"/>
      <c r="V173" s="120"/>
      <c r="W173" s="120"/>
      <c r="X173" s="120"/>
      <c r="Y173" s="120"/>
      <c r="Z173" s="120"/>
      <c r="AA173" s="121"/>
      <c r="AB173" s="44"/>
      <c r="AC173" s="119"/>
      <c r="AD173" s="120"/>
      <c r="AE173" s="120"/>
      <c r="AF173" s="120"/>
      <c r="AG173" s="120"/>
      <c r="AH173" s="120"/>
      <c r="AI173" s="120"/>
      <c r="AJ173" s="120"/>
      <c r="AK173" s="120"/>
      <c r="AL173" s="120"/>
      <c r="AM173" s="120"/>
      <c r="AN173" s="120"/>
      <c r="AO173" s="120"/>
      <c r="AP173" s="120"/>
      <c r="AQ173" s="120"/>
      <c r="AR173" s="120"/>
      <c r="AS173" s="120"/>
      <c r="AT173" s="120"/>
      <c r="AU173" s="120"/>
      <c r="AV173" s="120"/>
      <c r="AW173" s="121"/>
      <c r="AY173" s="34"/>
    </row>
    <row r="174" spans="3:51" ht="11.1" customHeight="1" x14ac:dyDescent="0.2">
      <c r="C174" s="29"/>
      <c r="D174" s="59"/>
      <c r="F174" s="69"/>
      <c r="G174" s="119"/>
      <c r="H174" s="120"/>
      <c r="I174" s="120"/>
      <c r="J174" s="120"/>
      <c r="K174" s="120"/>
      <c r="L174" s="120"/>
      <c r="M174" s="120"/>
      <c r="N174" s="120"/>
      <c r="O174" s="120"/>
      <c r="P174" s="120"/>
      <c r="Q174" s="120"/>
      <c r="R174" s="120"/>
      <c r="S174" s="120"/>
      <c r="T174" s="120"/>
      <c r="U174" s="120"/>
      <c r="V174" s="120"/>
      <c r="W174" s="120"/>
      <c r="X174" s="120"/>
      <c r="Y174" s="120"/>
      <c r="Z174" s="120"/>
      <c r="AA174" s="121"/>
      <c r="AB174" s="44"/>
      <c r="AC174" s="119"/>
      <c r="AD174" s="120"/>
      <c r="AE174" s="120"/>
      <c r="AF174" s="120"/>
      <c r="AG174" s="120"/>
      <c r="AH174" s="120"/>
      <c r="AI174" s="120"/>
      <c r="AJ174" s="120"/>
      <c r="AK174" s="120"/>
      <c r="AL174" s="120"/>
      <c r="AM174" s="120"/>
      <c r="AN174" s="120"/>
      <c r="AO174" s="120"/>
      <c r="AP174" s="120"/>
      <c r="AQ174" s="120"/>
      <c r="AR174" s="120"/>
      <c r="AS174" s="120"/>
      <c r="AT174" s="120"/>
      <c r="AU174" s="120"/>
      <c r="AV174" s="120"/>
      <c r="AW174" s="121"/>
      <c r="AY174" s="34"/>
    </row>
    <row r="175" spans="3:51" ht="11.1" customHeight="1" x14ac:dyDescent="0.2">
      <c r="C175" s="29"/>
      <c r="D175" s="59"/>
      <c r="F175" s="69"/>
      <c r="G175" s="119"/>
      <c r="H175" s="120"/>
      <c r="I175" s="120"/>
      <c r="J175" s="120"/>
      <c r="K175" s="120"/>
      <c r="L175" s="120"/>
      <c r="M175" s="120"/>
      <c r="N175" s="120"/>
      <c r="O175" s="120"/>
      <c r="P175" s="120"/>
      <c r="Q175" s="120"/>
      <c r="R175" s="120"/>
      <c r="S175" s="120"/>
      <c r="T175" s="120"/>
      <c r="U175" s="120"/>
      <c r="V175" s="120"/>
      <c r="W175" s="120"/>
      <c r="X175" s="120"/>
      <c r="Y175" s="120"/>
      <c r="Z175" s="120"/>
      <c r="AA175" s="121"/>
      <c r="AB175" s="44"/>
      <c r="AC175" s="119"/>
      <c r="AD175" s="120"/>
      <c r="AE175" s="120"/>
      <c r="AF175" s="120"/>
      <c r="AG175" s="120"/>
      <c r="AH175" s="120"/>
      <c r="AI175" s="120"/>
      <c r="AJ175" s="120"/>
      <c r="AK175" s="120"/>
      <c r="AL175" s="120"/>
      <c r="AM175" s="120"/>
      <c r="AN175" s="120"/>
      <c r="AO175" s="120"/>
      <c r="AP175" s="120"/>
      <c r="AQ175" s="120"/>
      <c r="AR175" s="120"/>
      <c r="AS175" s="120"/>
      <c r="AT175" s="120"/>
      <c r="AU175" s="120"/>
      <c r="AV175" s="120"/>
      <c r="AW175" s="121"/>
      <c r="AY175" s="34"/>
    </row>
    <row r="176" spans="3:51" ht="11.1" customHeight="1" x14ac:dyDescent="0.2">
      <c r="C176" s="29"/>
      <c r="D176" s="59"/>
      <c r="F176" s="69"/>
      <c r="G176" s="122"/>
      <c r="H176" s="123"/>
      <c r="I176" s="123"/>
      <c r="J176" s="123"/>
      <c r="K176" s="123"/>
      <c r="L176" s="123"/>
      <c r="M176" s="123"/>
      <c r="N176" s="123"/>
      <c r="O176" s="123"/>
      <c r="P176" s="123"/>
      <c r="Q176" s="123"/>
      <c r="R176" s="123"/>
      <c r="S176" s="123"/>
      <c r="T176" s="123"/>
      <c r="U176" s="123"/>
      <c r="V176" s="123"/>
      <c r="W176" s="123"/>
      <c r="X176" s="123"/>
      <c r="Y176" s="123"/>
      <c r="Z176" s="123"/>
      <c r="AA176" s="124"/>
      <c r="AB176" s="44"/>
      <c r="AC176" s="122"/>
      <c r="AD176" s="123"/>
      <c r="AE176" s="123"/>
      <c r="AF176" s="123"/>
      <c r="AG176" s="123"/>
      <c r="AH176" s="123"/>
      <c r="AI176" s="123"/>
      <c r="AJ176" s="123"/>
      <c r="AK176" s="123"/>
      <c r="AL176" s="123"/>
      <c r="AM176" s="123"/>
      <c r="AN176" s="123"/>
      <c r="AO176" s="123"/>
      <c r="AP176" s="123"/>
      <c r="AQ176" s="123"/>
      <c r="AR176" s="123"/>
      <c r="AS176" s="123"/>
      <c r="AT176" s="123"/>
      <c r="AU176" s="123"/>
      <c r="AV176" s="123"/>
      <c r="AW176" s="124"/>
      <c r="AY176" s="34"/>
    </row>
    <row r="177" spans="3:51" ht="11.1" customHeight="1" x14ac:dyDescent="0.2">
      <c r="C177" s="29"/>
      <c r="D177" s="59"/>
      <c r="F177" s="69"/>
      <c r="G177" s="116"/>
      <c r="H177" s="117"/>
      <c r="I177" s="117"/>
      <c r="J177" s="117"/>
      <c r="K177" s="117"/>
      <c r="L177" s="117"/>
      <c r="M177" s="117"/>
      <c r="N177" s="117"/>
      <c r="O177" s="117"/>
      <c r="P177" s="117"/>
      <c r="Q177" s="117"/>
      <c r="R177" s="117"/>
      <c r="S177" s="117"/>
      <c r="T177" s="117"/>
      <c r="U177" s="117"/>
      <c r="V177" s="117"/>
      <c r="W177" s="117"/>
      <c r="X177" s="117"/>
      <c r="Y177" s="117"/>
      <c r="Z177" s="117"/>
      <c r="AA177" s="118"/>
      <c r="AB177" s="44"/>
      <c r="AC177" s="116"/>
      <c r="AD177" s="125"/>
      <c r="AE177" s="125"/>
      <c r="AF177" s="125"/>
      <c r="AG177" s="125"/>
      <c r="AH177" s="125"/>
      <c r="AI177" s="125"/>
      <c r="AJ177" s="125"/>
      <c r="AK177" s="125"/>
      <c r="AL177" s="125"/>
      <c r="AM177" s="125"/>
      <c r="AN177" s="125"/>
      <c r="AO177" s="125"/>
      <c r="AP177" s="125"/>
      <c r="AQ177" s="125"/>
      <c r="AR177" s="125"/>
      <c r="AS177" s="125"/>
      <c r="AT177" s="125"/>
      <c r="AU177" s="125"/>
      <c r="AV177" s="125"/>
      <c r="AW177" s="126"/>
      <c r="AY177" s="34"/>
    </row>
    <row r="178" spans="3:51" ht="11.1" customHeight="1" x14ac:dyDescent="0.2">
      <c r="C178" s="29"/>
      <c r="D178" s="59"/>
      <c r="F178" s="69"/>
      <c r="G178" s="119"/>
      <c r="H178" s="120"/>
      <c r="I178" s="120"/>
      <c r="J178" s="120"/>
      <c r="K178" s="120"/>
      <c r="L178" s="120"/>
      <c r="M178" s="120"/>
      <c r="N178" s="120"/>
      <c r="O178" s="120"/>
      <c r="P178" s="120"/>
      <c r="Q178" s="120"/>
      <c r="R178" s="120"/>
      <c r="S178" s="120"/>
      <c r="T178" s="120"/>
      <c r="U178" s="120"/>
      <c r="V178" s="120"/>
      <c r="W178" s="120"/>
      <c r="X178" s="120"/>
      <c r="Y178" s="120"/>
      <c r="Z178" s="120"/>
      <c r="AA178" s="121"/>
      <c r="AB178" s="44"/>
      <c r="AC178" s="127"/>
      <c r="AD178" s="128"/>
      <c r="AE178" s="128"/>
      <c r="AF178" s="128"/>
      <c r="AG178" s="128"/>
      <c r="AH178" s="128"/>
      <c r="AI178" s="128"/>
      <c r="AJ178" s="128"/>
      <c r="AK178" s="128"/>
      <c r="AL178" s="128"/>
      <c r="AM178" s="128"/>
      <c r="AN178" s="128"/>
      <c r="AO178" s="128"/>
      <c r="AP178" s="128"/>
      <c r="AQ178" s="128"/>
      <c r="AR178" s="128"/>
      <c r="AS178" s="128"/>
      <c r="AT178" s="128"/>
      <c r="AU178" s="128"/>
      <c r="AV178" s="128"/>
      <c r="AW178" s="129"/>
      <c r="AY178" s="34"/>
    </row>
    <row r="179" spans="3:51" ht="11.1" customHeight="1" x14ac:dyDescent="0.2">
      <c r="C179" s="29"/>
      <c r="D179" s="59"/>
      <c r="F179" s="69"/>
      <c r="G179" s="119"/>
      <c r="H179" s="120"/>
      <c r="I179" s="120"/>
      <c r="J179" s="120"/>
      <c r="K179" s="120"/>
      <c r="L179" s="120"/>
      <c r="M179" s="120"/>
      <c r="N179" s="120"/>
      <c r="O179" s="120"/>
      <c r="P179" s="120"/>
      <c r="Q179" s="120"/>
      <c r="R179" s="120"/>
      <c r="S179" s="120"/>
      <c r="T179" s="120"/>
      <c r="U179" s="120"/>
      <c r="V179" s="120"/>
      <c r="W179" s="120"/>
      <c r="X179" s="120"/>
      <c r="Y179" s="120"/>
      <c r="Z179" s="120"/>
      <c r="AA179" s="121"/>
      <c r="AB179" s="44"/>
      <c r="AC179" s="127"/>
      <c r="AD179" s="128"/>
      <c r="AE179" s="128"/>
      <c r="AF179" s="128"/>
      <c r="AG179" s="128"/>
      <c r="AH179" s="128"/>
      <c r="AI179" s="128"/>
      <c r="AJ179" s="128"/>
      <c r="AK179" s="128"/>
      <c r="AL179" s="128"/>
      <c r="AM179" s="128"/>
      <c r="AN179" s="128"/>
      <c r="AO179" s="128"/>
      <c r="AP179" s="128"/>
      <c r="AQ179" s="128"/>
      <c r="AR179" s="128"/>
      <c r="AS179" s="128"/>
      <c r="AT179" s="128"/>
      <c r="AU179" s="128"/>
      <c r="AV179" s="128"/>
      <c r="AW179" s="129"/>
      <c r="AY179" s="34"/>
    </row>
    <row r="180" spans="3:51" ht="11.1" customHeight="1" x14ac:dyDescent="0.2">
      <c r="C180" s="29"/>
      <c r="D180" s="59"/>
      <c r="F180" s="69"/>
      <c r="G180" s="119"/>
      <c r="H180" s="120"/>
      <c r="I180" s="120"/>
      <c r="J180" s="120"/>
      <c r="K180" s="120"/>
      <c r="L180" s="120"/>
      <c r="M180" s="120"/>
      <c r="N180" s="120"/>
      <c r="O180" s="120"/>
      <c r="P180" s="120"/>
      <c r="Q180" s="120"/>
      <c r="R180" s="120"/>
      <c r="S180" s="120"/>
      <c r="T180" s="120"/>
      <c r="U180" s="120"/>
      <c r="V180" s="120"/>
      <c r="W180" s="120"/>
      <c r="X180" s="120"/>
      <c r="Y180" s="120"/>
      <c r="Z180" s="120"/>
      <c r="AA180" s="121"/>
      <c r="AB180" s="44"/>
      <c r="AC180" s="127"/>
      <c r="AD180" s="128"/>
      <c r="AE180" s="128"/>
      <c r="AF180" s="128"/>
      <c r="AG180" s="128"/>
      <c r="AH180" s="128"/>
      <c r="AI180" s="128"/>
      <c r="AJ180" s="128"/>
      <c r="AK180" s="128"/>
      <c r="AL180" s="128"/>
      <c r="AM180" s="128"/>
      <c r="AN180" s="128"/>
      <c r="AO180" s="128"/>
      <c r="AP180" s="128"/>
      <c r="AQ180" s="128"/>
      <c r="AR180" s="128"/>
      <c r="AS180" s="128"/>
      <c r="AT180" s="128"/>
      <c r="AU180" s="128"/>
      <c r="AV180" s="128"/>
      <c r="AW180" s="129"/>
      <c r="AY180" s="34"/>
    </row>
    <row r="181" spans="3:51" ht="11.1" customHeight="1" x14ac:dyDescent="0.2">
      <c r="C181" s="29"/>
      <c r="D181" s="59"/>
      <c r="F181" s="69"/>
      <c r="G181" s="119"/>
      <c r="H181" s="120"/>
      <c r="I181" s="120"/>
      <c r="J181" s="120"/>
      <c r="K181" s="120"/>
      <c r="L181" s="120"/>
      <c r="M181" s="120"/>
      <c r="N181" s="120"/>
      <c r="O181" s="120"/>
      <c r="P181" s="120"/>
      <c r="Q181" s="120"/>
      <c r="R181" s="120"/>
      <c r="S181" s="120"/>
      <c r="T181" s="120"/>
      <c r="U181" s="120"/>
      <c r="V181" s="120"/>
      <c r="W181" s="120"/>
      <c r="X181" s="120"/>
      <c r="Y181" s="120"/>
      <c r="Z181" s="120"/>
      <c r="AA181" s="121"/>
      <c r="AB181" s="44"/>
      <c r="AC181" s="127"/>
      <c r="AD181" s="128"/>
      <c r="AE181" s="128"/>
      <c r="AF181" s="128"/>
      <c r="AG181" s="128"/>
      <c r="AH181" s="128"/>
      <c r="AI181" s="128"/>
      <c r="AJ181" s="128"/>
      <c r="AK181" s="128"/>
      <c r="AL181" s="128"/>
      <c r="AM181" s="128"/>
      <c r="AN181" s="128"/>
      <c r="AO181" s="128"/>
      <c r="AP181" s="128"/>
      <c r="AQ181" s="128"/>
      <c r="AR181" s="128"/>
      <c r="AS181" s="128"/>
      <c r="AT181" s="128"/>
      <c r="AU181" s="128"/>
      <c r="AV181" s="128"/>
      <c r="AW181" s="129"/>
      <c r="AY181" s="34"/>
    </row>
    <row r="182" spans="3:51" ht="11.1" customHeight="1" x14ac:dyDescent="0.2">
      <c r="C182" s="29"/>
      <c r="D182" s="59"/>
      <c r="F182" s="69"/>
      <c r="G182" s="119"/>
      <c r="H182" s="120"/>
      <c r="I182" s="120"/>
      <c r="J182" s="120"/>
      <c r="K182" s="120"/>
      <c r="L182" s="120"/>
      <c r="M182" s="120"/>
      <c r="N182" s="120"/>
      <c r="O182" s="120"/>
      <c r="P182" s="120"/>
      <c r="Q182" s="120"/>
      <c r="R182" s="120"/>
      <c r="S182" s="120"/>
      <c r="T182" s="120"/>
      <c r="U182" s="120"/>
      <c r="V182" s="120"/>
      <c r="W182" s="120"/>
      <c r="X182" s="120"/>
      <c r="Y182" s="120"/>
      <c r="Z182" s="120"/>
      <c r="AA182" s="121"/>
      <c r="AB182" s="44"/>
      <c r="AC182" s="127"/>
      <c r="AD182" s="128"/>
      <c r="AE182" s="128"/>
      <c r="AF182" s="128"/>
      <c r="AG182" s="128"/>
      <c r="AH182" s="128"/>
      <c r="AI182" s="128"/>
      <c r="AJ182" s="128"/>
      <c r="AK182" s="128"/>
      <c r="AL182" s="128"/>
      <c r="AM182" s="128"/>
      <c r="AN182" s="128"/>
      <c r="AO182" s="128"/>
      <c r="AP182" s="128"/>
      <c r="AQ182" s="128"/>
      <c r="AR182" s="128"/>
      <c r="AS182" s="128"/>
      <c r="AT182" s="128"/>
      <c r="AU182" s="128"/>
      <c r="AV182" s="128"/>
      <c r="AW182" s="129"/>
      <c r="AY182" s="34"/>
    </row>
    <row r="183" spans="3:51" ht="11.1" customHeight="1" x14ac:dyDescent="0.2">
      <c r="C183" s="29"/>
      <c r="D183" s="59"/>
      <c r="F183" s="69"/>
      <c r="G183" s="119"/>
      <c r="H183" s="120"/>
      <c r="I183" s="120"/>
      <c r="J183" s="120"/>
      <c r="K183" s="120"/>
      <c r="L183" s="120"/>
      <c r="M183" s="120"/>
      <c r="N183" s="120"/>
      <c r="O183" s="120"/>
      <c r="P183" s="120"/>
      <c r="Q183" s="120"/>
      <c r="R183" s="120"/>
      <c r="S183" s="120"/>
      <c r="T183" s="120"/>
      <c r="U183" s="120"/>
      <c r="V183" s="120"/>
      <c r="W183" s="120"/>
      <c r="X183" s="120"/>
      <c r="Y183" s="120"/>
      <c r="Z183" s="120"/>
      <c r="AA183" s="121"/>
      <c r="AB183" s="44"/>
      <c r="AC183" s="127"/>
      <c r="AD183" s="128"/>
      <c r="AE183" s="128"/>
      <c r="AF183" s="128"/>
      <c r="AG183" s="128"/>
      <c r="AH183" s="128"/>
      <c r="AI183" s="128"/>
      <c r="AJ183" s="128"/>
      <c r="AK183" s="128"/>
      <c r="AL183" s="128"/>
      <c r="AM183" s="128"/>
      <c r="AN183" s="128"/>
      <c r="AO183" s="128"/>
      <c r="AP183" s="128"/>
      <c r="AQ183" s="128"/>
      <c r="AR183" s="128"/>
      <c r="AS183" s="128"/>
      <c r="AT183" s="128"/>
      <c r="AU183" s="128"/>
      <c r="AV183" s="128"/>
      <c r="AW183" s="129"/>
      <c r="AY183" s="34"/>
    </row>
    <row r="184" spans="3:51" ht="11.1" customHeight="1" x14ac:dyDescent="0.2">
      <c r="C184" s="29"/>
      <c r="D184" s="59"/>
      <c r="F184" s="69"/>
      <c r="G184" s="119"/>
      <c r="H184" s="120"/>
      <c r="I184" s="120"/>
      <c r="J184" s="120"/>
      <c r="K184" s="120"/>
      <c r="L184" s="120"/>
      <c r="M184" s="120"/>
      <c r="N184" s="120"/>
      <c r="O184" s="120"/>
      <c r="P184" s="120"/>
      <c r="Q184" s="120"/>
      <c r="R184" s="120"/>
      <c r="S184" s="120"/>
      <c r="T184" s="120"/>
      <c r="U184" s="120"/>
      <c r="V184" s="120"/>
      <c r="W184" s="120"/>
      <c r="X184" s="120"/>
      <c r="Y184" s="120"/>
      <c r="Z184" s="120"/>
      <c r="AA184" s="121"/>
      <c r="AB184" s="44"/>
      <c r="AC184" s="127"/>
      <c r="AD184" s="128"/>
      <c r="AE184" s="128"/>
      <c r="AF184" s="128"/>
      <c r="AG184" s="128"/>
      <c r="AH184" s="128"/>
      <c r="AI184" s="128"/>
      <c r="AJ184" s="128"/>
      <c r="AK184" s="128"/>
      <c r="AL184" s="128"/>
      <c r="AM184" s="128"/>
      <c r="AN184" s="128"/>
      <c r="AO184" s="128"/>
      <c r="AP184" s="128"/>
      <c r="AQ184" s="128"/>
      <c r="AR184" s="128"/>
      <c r="AS184" s="128"/>
      <c r="AT184" s="128"/>
      <c r="AU184" s="128"/>
      <c r="AV184" s="128"/>
      <c r="AW184" s="129"/>
      <c r="AY184" s="34"/>
    </row>
    <row r="185" spans="3:51" ht="11.1" customHeight="1" x14ac:dyDescent="0.2">
      <c r="C185" s="29"/>
      <c r="D185" s="59"/>
      <c r="F185" s="69"/>
      <c r="G185" s="119"/>
      <c r="H185" s="120"/>
      <c r="I185" s="120"/>
      <c r="J185" s="120"/>
      <c r="K185" s="120"/>
      <c r="L185" s="120"/>
      <c r="M185" s="120"/>
      <c r="N185" s="120"/>
      <c r="O185" s="120"/>
      <c r="P185" s="120"/>
      <c r="Q185" s="120"/>
      <c r="R185" s="120"/>
      <c r="S185" s="120"/>
      <c r="T185" s="120"/>
      <c r="U185" s="120"/>
      <c r="V185" s="120"/>
      <c r="W185" s="120"/>
      <c r="X185" s="120"/>
      <c r="Y185" s="120"/>
      <c r="Z185" s="120"/>
      <c r="AA185" s="121"/>
      <c r="AB185" s="44"/>
      <c r="AC185" s="127"/>
      <c r="AD185" s="128"/>
      <c r="AE185" s="128"/>
      <c r="AF185" s="128"/>
      <c r="AG185" s="128"/>
      <c r="AH185" s="128"/>
      <c r="AI185" s="128"/>
      <c r="AJ185" s="128"/>
      <c r="AK185" s="128"/>
      <c r="AL185" s="128"/>
      <c r="AM185" s="128"/>
      <c r="AN185" s="128"/>
      <c r="AO185" s="128"/>
      <c r="AP185" s="128"/>
      <c r="AQ185" s="128"/>
      <c r="AR185" s="128"/>
      <c r="AS185" s="128"/>
      <c r="AT185" s="128"/>
      <c r="AU185" s="128"/>
      <c r="AV185" s="128"/>
      <c r="AW185" s="129"/>
      <c r="AY185" s="34"/>
    </row>
    <row r="186" spans="3:51" ht="11.1" customHeight="1" x14ac:dyDescent="0.2">
      <c r="C186" s="29"/>
      <c r="D186" s="59"/>
      <c r="F186" s="69"/>
      <c r="G186" s="119"/>
      <c r="H186" s="120"/>
      <c r="I186" s="120"/>
      <c r="J186" s="120"/>
      <c r="K186" s="120"/>
      <c r="L186" s="120"/>
      <c r="M186" s="120"/>
      <c r="N186" s="120"/>
      <c r="O186" s="120"/>
      <c r="P186" s="120"/>
      <c r="Q186" s="120"/>
      <c r="R186" s="120"/>
      <c r="S186" s="120"/>
      <c r="T186" s="120"/>
      <c r="U186" s="120"/>
      <c r="V186" s="120"/>
      <c r="W186" s="120"/>
      <c r="X186" s="120"/>
      <c r="Y186" s="120"/>
      <c r="Z186" s="120"/>
      <c r="AA186" s="121"/>
      <c r="AB186" s="44"/>
      <c r="AC186" s="127"/>
      <c r="AD186" s="128"/>
      <c r="AE186" s="128"/>
      <c r="AF186" s="128"/>
      <c r="AG186" s="128"/>
      <c r="AH186" s="128"/>
      <c r="AI186" s="128"/>
      <c r="AJ186" s="128"/>
      <c r="AK186" s="128"/>
      <c r="AL186" s="128"/>
      <c r="AM186" s="128"/>
      <c r="AN186" s="128"/>
      <c r="AO186" s="128"/>
      <c r="AP186" s="128"/>
      <c r="AQ186" s="128"/>
      <c r="AR186" s="128"/>
      <c r="AS186" s="128"/>
      <c r="AT186" s="128"/>
      <c r="AU186" s="128"/>
      <c r="AV186" s="128"/>
      <c r="AW186" s="129"/>
      <c r="AY186" s="34"/>
    </row>
    <row r="187" spans="3:51" ht="11.1" customHeight="1" x14ac:dyDescent="0.2">
      <c r="C187" s="29"/>
      <c r="D187" s="59"/>
      <c r="F187" s="69"/>
      <c r="G187" s="119"/>
      <c r="H187" s="120"/>
      <c r="I187" s="120"/>
      <c r="J187" s="120"/>
      <c r="K187" s="120"/>
      <c r="L187" s="120"/>
      <c r="M187" s="120"/>
      <c r="N187" s="120"/>
      <c r="O187" s="120"/>
      <c r="P187" s="120"/>
      <c r="Q187" s="120"/>
      <c r="R187" s="120"/>
      <c r="S187" s="120"/>
      <c r="T187" s="120"/>
      <c r="U187" s="120"/>
      <c r="V187" s="120"/>
      <c r="W187" s="120"/>
      <c r="X187" s="120"/>
      <c r="Y187" s="120"/>
      <c r="Z187" s="120"/>
      <c r="AA187" s="121"/>
      <c r="AB187" s="44"/>
      <c r="AC187" s="127"/>
      <c r="AD187" s="128"/>
      <c r="AE187" s="128"/>
      <c r="AF187" s="128"/>
      <c r="AG187" s="128"/>
      <c r="AH187" s="128"/>
      <c r="AI187" s="128"/>
      <c r="AJ187" s="128"/>
      <c r="AK187" s="128"/>
      <c r="AL187" s="128"/>
      <c r="AM187" s="128"/>
      <c r="AN187" s="128"/>
      <c r="AO187" s="128"/>
      <c r="AP187" s="128"/>
      <c r="AQ187" s="128"/>
      <c r="AR187" s="128"/>
      <c r="AS187" s="128"/>
      <c r="AT187" s="128"/>
      <c r="AU187" s="128"/>
      <c r="AV187" s="128"/>
      <c r="AW187" s="129"/>
      <c r="AY187" s="34"/>
    </row>
    <row r="188" spans="3:51" ht="11.1" customHeight="1" x14ac:dyDescent="0.2">
      <c r="C188" s="29"/>
      <c r="D188" s="59"/>
      <c r="F188" s="69"/>
      <c r="G188" s="119"/>
      <c r="H188" s="120"/>
      <c r="I188" s="120"/>
      <c r="J188" s="120"/>
      <c r="K188" s="120"/>
      <c r="L188" s="120"/>
      <c r="M188" s="120"/>
      <c r="N188" s="120"/>
      <c r="O188" s="120"/>
      <c r="P188" s="120"/>
      <c r="Q188" s="120"/>
      <c r="R188" s="120"/>
      <c r="S188" s="120"/>
      <c r="T188" s="120"/>
      <c r="U188" s="120"/>
      <c r="V188" s="120"/>
      <c r="W188" s="120"/>
      <c r="X188" s="120"/>
      <c r="Y188" s="120"/>
      <c r="Z188" s="120"/>
      <c r="AA188" s="121"/>
      <c r="AB188" s="44"/>
      <c r="AC188" s="127"/>
      <c r="AD188" s="128"/>
      <c r="AE188" s="128"/>
      <c r="AF188" s="128"/>
      <c r="AG188" s="128"/>
      <c r="AH188" s="128"/>
      <c r="AI188" s="128"/>
      <c r="AJ188" s="128"/>
      <c r="AK188" s="128"/>
      <c r="AL188" s="128"/>
      <c r="AM188" s="128"/>
      <c r="AN188" s="128"/>
      <c r="AO188" s="128"/>
      <c r="AP188" s="128"/>
      <c r="AQ188" s="128"/>
      <c r="AR188" s="128"/>
      <c r="AS188" s="128"/>
      <c r="AT188" s="128"/>
      <c r="AU188" s="128"/>
      <c r="AV188" s="128"/>
      <c r="AW188" s="129"/>
      <c r="AY188" s="34"/>
    </row>
    <row r="189" spans="3:51" ht="11.1" customHeight="1" x14ac:dyDescent="0.2">
      <c r="C189" s="29"/>
      <c r="D189" s="59"/>
      <c r="F189" s="69"/>
      <c r="G189" s="119"/>
      <c r="H189" s="120"/>
      <c r="I189" s="120"/>
      <c r="J189" s="120"/>
      <c r="K189" s="120"/>
      <c r="L189" s="120"/>
      <c r="M189" s="120"/>
      <c r="N189" s="120"/>
      <c r="O189" s="120"/>
      <c r="P189" s="120"/>
      <c r="Q189" s="120"/>
      <c r="R189" s="120"/>
      <c r="S189" s="120"/>
      <c r="T189" s="120"/>
      <c r="U189" s="120"/>
      <c r="V189" s="120"/>
      <c r="W189" s="120"/>
      <c r="X189" s="120"/>
      <c r="Y189" s="120"/>
      <c r="Z189" s="120"/>
      <c r="AA189" s="121"/>
      <c r="AB189" s="44"/>
      <c r="AC189" s="127"/>
      <c r="AD189" s="128"/>
      <c r="AE189" s="128"/>
      <c r="AF189" s="128"/>
      <c r="AG189" s="128"/>
      <c r="AH189" s="128"/>
      <c r="AI189" s="128"/>
      <c r="AJ189" s="128"/>
      <c r="AK189" s="128"/>
      <c r="AL189" s="128"/>
      <c r="AM189" s="128"/>
      <c r="AN189" s="128"/>
      <c r="AO189" s="128"/>
      <c r="AP189" s="128"/>
      <c r="AQ189" s="128"/>
      <c r="AR189" s="128"/>
      <c r="AS189" s="128"/>
      <c r="AT189" s="128"/>
      <c r="AU189" s="128"/>
      <c r="AV189" s="128"/>
      <c r="AW189" s="129"/>
      <c r="AY189" s="34"/>
    </row>
    <row r="190" spans="3:51" ht="11.1" customHeight="1" x14ac:dyDescent="0.2">
      <c r="C190" s="29"/>
      <c r="D190" s="59"/>
      <c r="F190" s="69"/>
      <c r="G190" s="119"/>
      <c r="H190" s="120"/>
      <c r="I190" s="120"/>
      <c r="J190" s="120"/>
      <c r="K190" s="120"/>
      <c r="L190" s="120"/>
      <c r="M190" s="120"/>
      <c r="N190" s="120"/>
      <c r="O190" s="120"/>
      <c r="P190" s="120"/>
      <c r="Q190" s="120"/>
      <c r="R190" s="120"/>
      <c r="S190" s="120"/>
      <c r="T190" s="120"/>
      <c r="U190" s="120"/>
      <c r="V190" s="120"/>
      <c r="W190" s="120"/>
      <c r="X190" s="120"/>
      <c r="Y190" s="120"/>
      <c r="Z190" s="120"/>
      <c r="AA190" s="121"/>
      <c r="AB190" s="44"/>
      <c r="AC190" s="127"/>
      <c r="AD190" s="128"/>
      <c r="AE190" s="128"/>
      <c r="AF190" s="128"/>
      <c r="AG190" s="128"/>
      <c r="AH190" s="128"/>
      <c r="AI190" s="128"/>
      <c r="AJ190" s="128"/>
      <c r="AK190" s="128"/>
      <c r="AL190" s="128"/>
      <c r="AM190" s="128"/>
      <c r="AN190" s="128"/>
      <c r="AO190" s="128"/>
      <c r="AP190" s="128"/>
      <c r="AQ190" s="128"/>
      <c r="AR190" s="128"/>
      <c r="AS190" s="128"/>
      <c r="AT190" s="128"/>
      <c r="AU190" s="128"/>
      <c r="AV190" s="128"/>
      <c r="AW190" s="129"/>
      <c r="AY190" s="34"/>
    </row>
    <row r="191" spans="3:51" ht="11.1" customHeight="1" x14ac:dyDescent="0.2">
      <c r="C191" s="29"/>
      <c r="D191" s="59"/>
      <c r="F191" s="69"/>
      <c r="G191" s="119"/>
      <c r="H191" s="120"/>
      <c r="I191" s="120"/>
      <c r="J191" s="120"/>
      <c r="K191" s="120"/>
      <c r="L191" s="120"/>
      <c r="M191" s="120"/>
      <c r="N191" s="120"/>
      <c r="O191" s="120"/>
      <c r="P191" s="120"/>
      <c r="Q191" s="120"/>
      <c r="R191" s="120"/>
      <c r="S191" s="120"/>
      <c r="T191" s="120"/>
      <c r="U191" s="120"/>
      <c r="V191" s="120"/>
      <c r="W191" s="120"/>
      <c r="X191" s="120"/>
      <c r="Y191" s="120"/>
      <c r="Z191" s="120"/>
      <c r="AA191" s="121"/>
      <c r="AB191" s="44"/>
      <c r="AC191" s="127"/>
      <c r="AD191" s="128"/>
      <c r="AE191" s="128"/>
      <c r="AF191" s="128"/>
      <c r="AG191" s="128"/>
      <c r="AH191" s="128"/>
      <c r="AI191" s="128"/>
      <c r="AJ191" s="128"/>
      <c r="AK191" s="128"/>
      <c r="AL191" s="128"/>
      <c r="AM191" s="128"/>
      <c r="AN191" s="128"/>
      <c r="AO191" s="128"/>
      <c r="AP191" s="128"/>
      <c r="AQ191" s="128"/>
      <c r="AR191" s="128"/>
      <c r="AS191" s="128"/>
      <c r="AT191" s="128"/>
      <c r="AU191" s="128"/>
      <c r="AV191" s="128"/>
      <c r="AW191" s="129"/>
      <c r="AY191" s="34"/>
    </row>
    <row r="192" spans="3:51" ht="11.1" customHeight="1" x14ac:dyDescent="0.2">
      <c r="C192" s="29"/>
      <c r="D192" s="59"/>
      <c r="F192" s="69"/>
      <c r="G192" s="122"/>
      <c r="H192" s="123"/>
      <c r="I192" s="123"/>
      <c r="J192" s="123"/>
      <c r="K192" s="123"/>
      <c r="L192" s="123"/>
      <c r="M192" s="123"/>
      <c r="N192" s="123"/>
      <c r="O192" s="123"/>
      <c r="P192" s="123"/>
      <c r="Q192" s="123"/>
      <c r="R192" s="123"/>
      <c r="S192" s="123"/>
      <c r="T192" s="123"/>
      <c r="U192" s="123"/>
      <c r="V192" s="123"/>
      <c r="W192" s="123"/>
      <c r="X192" s="123"/>
      <c r="Y192" s="123"/>
      <c r="Z192" s="123"/>
      <c r="AA192" s="124"/>
      <c r="AB192" s="44"/>
      <c r="AC192" s="130"/>
      <c r="AD192" s="131"/>
      <c r="AE192" s="131"/>
      <c r="AF192" s="131"/>
      <c r="AG192" s="131"/>
      <c r="AH192" s="131"/>
      <c r="AI192" s="131"/>
      <c r="AJ192" s="131"/>
      <c r="AK192" s="131"/>
      <c r="AL192" s="131"/>
      <c r="AM192" s="131"/>
      <c r="AN192" s="131"/>
      <c r="AO192" s="131"/>
      <c r="AP192" s="131"/>
      <c r="AQ192" s="131"/>
      <c r="AR192" s="131"/>
      <c r="AS192" s="131"/>
      <c r="AT192" s="131"/>
      <c r="AU192" s="131"/>
      <c r="AV192" s="131"/>
      <c r="AW192" s="132"/>
      <c r="AY192" s="34"/>
    </row>
    <row r="193" spans="1:62" ht="3.95" customHeight="1" x14ac:dyDescent="0.2">
      <c r="D193" s="42"/>
      <c r="F193" s="69"/>
    </row>
    <row r="194" spans="1:62" ht="6" customHeight="1" x14ac:dyDescent="0.2">
      <c r="D194" s="42"/>
      <c r="G194" s="26"/>
      <c r="H194" s="27"/>
      <c r="AB194" s="70"/>
      <c r="AD194" s="34"/>
      <c r="AE194" s="34"/>
      <c r="AF194" s="34"/>
      <c r="AG194" s="34"/>
      <c r="AH194" s="34"/>
      <c r="AI194" s="34"/>
      <c r="AJ194" s="34"/>
      <c r="AK194" s="34"/>
      <c r="AL194" s="34"/>
      <c r="AM194" s="34"/>
      <c r="AN194" s="34"/>
      <c r="AO194" s="34"/>
      <c r="AP194" s="34"/>
      <c r="AQ194" s="34"/>
      <c r="AR194" s="34"/>
      <c r="AS194" s="34"/>
      <c r="AT194" s="34"/>
      <c r="AU194" s="34"/>
      <c r="AV194" s="34"/>
      <c r="AW194" s="34"/>
    </row>
    <row r="195" spans="1:62" ht="12" customHeight="1" x14ac:dyDescent="0.2">
      <c r="C195" s="29"/>
      <c r="D195" s="59"/>
      <c r="AD195" s="25"/>
      <c r="AE195" s="25"/>
      <c r="AF195" s="25"/>
      <c r="AG195" s="25"/>
      <c r="AH195" s="25"/>
      <c r="AI195" s="25"/>
      <c r="AJ195" s="25"/>
      <c r="AK195" s="25"/>
      <c r="AL195" s="25"/>
      <c r="AM195" s="25"/>
      <c r="AN195" s="25"/>
      <c r="AO195" s="25"/>
      <c r="AP195" s="25"/>
      <c r="AQ195" s="25"/>
      <c r="AR195" s="25"/>
      <c r="AS195" s="25"/>
      <c r="AT195" s="25"/>
      <c r="AU195" s="25"/>
      <c r="AV195" s="25"/>
      <c r="AW195" s="25"/>
      <c r="BB195" s="34"/>
      <c r="BC195" s="34"/>
      <c r="BD195" s="34"/>
      <c r="BE195" s="43"/>
      <c r="BF195" s="43"/>
      <c r="BG195" s="43"/>
      <c r="BH195" s="43"/>
    </row>
    <row r="196" spans="1:62" ht="12" customHeight="1" x14ac:dyDescent="0.2">
      <c r="C196" s="29"/>
      <c r="D196" s="309" t="s">
        <v>168</v>
      </c>
      <c r="E196" s="309">
        <v>0</v>
      </c>
      <c r="H196" s="322" t="s">
        <v>195</v>
      </c>
      <c r="I196" s="322"/>
      <c r="J196" s="322"/>
      <c r="K196" s="322"/>
      <c r="L196" s="322"/>
      <c r="M196" s="322"/>
      <c r="N196" s="322"/>
      <c r="O196" s="322"/>
      <c r="P196" s="322"/>
      <c r="Q196" s="322"/>
      <c r="R196" s="322"/>
      <c r="S196" s="322"/>
      <c r="T196" s="322"/>
      <c r="U196" s="322"/>
      <c r="V196" s="322"/>
      <c r="W196" s="322"/>
      <c r="X196" s="322"/>
      <c r="Y196" s="322"/>
      <c r="Z196" s="322"/>
      <c r="AD196" s="81" t="s">
        <v>43</v>
      </c>
      <c r="AE196" s="231" t="s">
        <v>44</v>
      </c>
      <c r="AF196" s="231"/>
      <c r="AG196" s="231"/>
      <c r="AH196" s="231"/>
      <c r="AI196" s="231"/>
      <c r="AJ196" s="231"/>
      <c r="AK196" s="231"/>
      <c r="AL196" s="231"/>
      <c r="AM196" s="231"/>
      <c r="AN196" s="231"/>
      <c r="AO196" s="231"/>
      <c r="AP196" s="231"/>
      <c r="AQ196" s="231"/>
      <c r="AR196" s="231"/>
      <c r="AS196" s="231"/>
      <c r="AT196" s="231"/>
      <c r="AU196" s="231"/>
      <c r="AV196" s="232"/>
      <c r="AZ196" s="43"/>
    </row>
    <row r="197" spans="1:62" ht="12" customHeight="1" x14ac:dyDescent="0.2">
      <c r="C197" s="29"/>
      <c r="D197" s="310"/>
      <c r="E197" s="310"/>
      <c r="H197" s="71" t="s">
        <v>35</v>
      </c>
      <c r="I197" s="314" t="s">
        <v>36</v>
      </c>
      <c r="J197" s="314"/>
      <c r="K197" s="314"/>
      <c r="L197" s="314"/>
      <c r="M197" s="314"/>
      <c r="N197" s="314"/>
      <c r="O197" s="314"/>
      <c r="P197" s="314"/>
      <c r="Q197" s="314"/>
      <c r="R197" s="314"/>
      <c r="S197" s="314"/>
      <c r="T197" s="314"/>
      <c r="U197" s="314"/>
      <c r="V197" s="314"/>
      <c r="W197" s="314"/>
      <c r="X197" s="314"/>
      <c r="Y197" s="314"/>
      <c r="Z197" s="315"/>
      <c r="AD197" s="28" t="s">
        <v>37</v>
      </c>
      <c r="AE197" s="316" t="s">
        <v>197</v>
      </c>
      <c r="AF197" s="316"/>
      <c r="AG197" s="316"/>
      <c r="AH197" s="316"/>
      <c r="AI197" s="316"/>
      <c r="AJ197" s="316"/>
      <c r="AK197" s="316"/>
      <c r="AL197" s="316"/>
      <c r="AM197" s="316"/>
      <c r="AN197" s="316"/>
      <c r="AO197" s="316"/>
      <c r="AP197" s="316"/>
      <c r="AQ197" s="316"/>
      <c r="AR197" s="316"/>
      <c r="AS197" s="316"/>
      <c r="AT197" s="316"/>
      <c r="AU197" s="316"/>
      <c r="AV197" s="316"/>
      <c r="BA197" s="34"/>
    </row>
    <row r="198" spans="1:62" ht="12" customHeight="1" x14ac:dyDescent="0.2">
      <c r="C198" s="29"/>
      <c r="D198" s="310"/>
      <c r="E198" s="310"/>
      <c r="AD198" s="28" t="s">
        <v>38</v>
      </c>
      <c r="AE198" s="317" t="s">
        <v>198</v>
      </c>
      <c r="AF198" s="317"/>
      <c r="AG198" s="317"/>
      <c r="AH198" s="317"/>
      <c r="AI198" s="317"/>
      <c r="AJ198" s="317"/>
    </row>
    <row r="199" spans="1:62" ht="6" customHeight="1" x14ac:dyDescent="0.2">
      <c r="C199" s="29"/>
      <c r="D199" s="310"/>
      <c r="E199" s="310"/>
      <c r="G199" s="69"/>
    </row>
    <row r="200" spans="1:62" ht="12" customHeight="1" x14ac:dyDescent="0.2">
      <c r="C200" s="29"/>
      <c r="D200" s="310"/>
      <c r="E200" s="310"/>
      <c r="H200" s="93"/>
      <c r="I200" s="25"/>
      <c r="J200" s="25"/>
      <c r="K200" s="25"/>
      <c r="L200" s="25"/>
      <c r="M200" s="25"/>
      <c r="N200" s="25"/>
      <c r="O200" s="25"/>
      <c r="P200" s="25"/>
      <c r="Q200" s="25"/>
      <c r="R200" s="25"/>
      <c r="S200" s="25"/>
      <c r="T200" s="25"/>
      <c r="U200" s="25"/>
      <c r="V200" s="25"/>
      <c r="W200" s="25"/>
      <c r="X200" s="25"/>
      <c r="Y200" s="25"/>
      <c r="Z200" s="25"/>
      <c r="AD200" s="25"/>
      <c r="AE200" s="25"/>
      <c r="AF200" s="25"/>
      <c r="AG200" s="25"/>
      <c r="AH200" s="25"/>
      <c r="AI200" s="25"/>
      <c r="AJ200" s="25"/>
      <c r="AK200" s="25"/>
      <c r="AL200" s="25"/>
      <c r="AM200" s="25"/>
      <c r="AN200" s="25"/>
      <c r="AO200" s="25"/>
      <c r="AP200" s="25"/>
      <c r="AQ200" s="25"/>
      <c r="AR200" s="25"/>
      <c r="AS200" s="25"/>
      <c r="AT200" s="25"/>
      <c r="AU200" s="25"/>
      <c r="AV200" s="25"/>
    </row>
    <row r="201" spans="1:62" ht="12" customHeight="1" x14ac:dyDescent="0.2">
      <c r="C201" s="29"/>
      <c r="D201" s="310"/>
      <c r="E201" s="310"/>
      <c r="H201" s="93"/>
      <c r="I201" s="318" t="s">
        <v>45</v>
      </c>
      <c r="J201" s="319"/>
      <c r="K201" s="319"/>
      <c r="L201" s="319"/>
      <c r="M201" s="319"/>
      <c r="N201" s="319"/>
      <c r="O201" s="319"/>
      <c r="P201" s="319"/>
      <c r="Q201" s="319"/>
      <c r="R201" s="319"/>
      <c r="S201" s="319"/>
      <c r="T201" s="319"/>
      <c r="U201" s="319"/>
      <c r="V201" s="319"/>
      <c r="W201" s="319"/>
      <c r="X201" s="319"/>
      <c r="Y201" s="319"/>
      <c r="Z201" s="320"/>
      <c r="AD201" s="81" t="s">
        <v>39</v>
      </c>
      <c r="AE201" s="231" t="s">
        <v>46</v>
      </c>
      <c r="AF201" s="231"/>
      <c r="AG201" s="231"/>
      <c r="AH201" s="231"/>
      <c r="AI201" s="231"/>
      <c r="AJ201" s="231"/>
      <c r="AK201" s="231"/>
      <c r="AL201" s="231"/>
      <c r="AM201" s="231"/>
      <c r="AN201" s="231"/>
      <c r="AO201" s="231"/>
      <c r="AP201" s="231"/>
      <c r="AQ201" s="231"/>
      <c r="AR201" s="231"/>
      <c r="AS201" s="231"/>
      <c r="AT201" s="231"/>
      <c r="AU201" s="231"/>
      <c r="AV201" s="232"/>
    </row>
    <row r="202" spans="1:62" ht="12" customHeight="1" x14ac:dyDescent="0.2">
      <c r="C202" s="29"/>
      <c r="D202" s="310"/>
      <c r="E202" s="310"/>
      <c r="H202" s="28" t="s">
        <v>37</v>
      </c>
      <c r="I202" s="316" t="s">
        <v>196</v>
      </c>
      <c r="J202" s="316"/>
      <c r="K202" s="316"/>
      <c r="L202" s="316"/>
      <c r="M202" s="316"/>
      <c r="N202" s="316"/>
      <c r="O202" s="316"/>
      <c r="P202" s="316"/>
      <c r="Q202" s="316"/>
      <c r="R202" s="316"/>
      <c r="S202" s="316"/>
      <c r="T202" s="316"/>
      <c r="U202" s="316"/>
      <c r="V202" s="316"/>
      <c r="W202" s="316"/>
      <c r="X202" s="316"/>
      <c r="Y202" s="316"/>
      <c r="Z202" s="316"/>
      <c r="AD202" s="28" t="s">
        <v>37</v>
      </c>
      <c r="AE202" s="316" t="s">
        <v>197</v>
      </c>
      <c r="AF202" s="316"/>
      <c r="AG202" s="316"/>
      <c r="AH202" s="316"/>
      <c r="AI202" s="316"/>
      <c r="AJ202" s="316"/>
      <c r="AK202" s="316"/>
      <c r="AL202" s="316"/>
      <c r="AM202" s="316"/>
      <c r="AN202" s="316"/>
      <c r="AO202" s="316"/>
      <c r="AP202" s="316"/>
      <c r="AQ202" s="316"/>
      <c r="AR202" s="316"/>
      <c r="AS202" s="316"/>
      <c r="AT202" s="316"/>
      <c r="AU202" s="316"/>
      <c r="AV202" s="316"/>
    </row>
    <row r="203" spans="1:62" ht="12" customHeight="1" x14ac:dyDescent="0.2">
      <c r="C203" s="29"/>
      <c r="D203" s="310"/>
      <c r="E203" s="310"/>
      <c r="H203" s="28" t="s">
        <v>47</v>
      </c>
      <c r="I203" s="327" t="s">
        <v>199</v>
      </c>
      <c r="J203" s="327"/>
      <c r="K203" s="327"/>
      <c r="L203" s="327"/>
      <c r="M203" s="327"/>
      <c r="N203" s="327"/>
      <c r="O203" s="327"/>
      <c r="P203" s="327"/>
      <c r="AD203" s="28" t="s">
        <v>38</v>
      </c>
      <c r="AE203" s="317" t="s">
        <v>198</v>
      </c>
      <c r="AF203" s="317"/>
      <c r="AG203" s="317"/>
      <c r="AH203" s="317"/>
      <c r="AI203" s="317"/>
      <c r="AJ203" s="317"/>
      <c r="AK203" s="93"/>
      <c r="AL203" s="93"/>
      <c r="AM203" s="93"/>
      <c r="AN203" s="28" t="s">
        <v>40</v>
      </c>
      <c r="AO203" s="337" t="s">
        <v>200</v>
      </c>
      <c r="AP203" s="337"/>
      <c r="AQ203" s="337"/>
      <c r="AR203" s="337"/>
      <c r="AS203" s="337"/>
      <c r="AT203" s="337"/>
      <c r="AU203" s="337"/>
      <c r="AV203" s="337"/>
    </row>
    <row r="204" spans="1:62" ht="12" customHeight="1" x14ac:dyDescent="0.2">
      <c r="C204" s="29"/>
      <c r="D204" s="310"/>
      <c r="E204" s="310"/>
      <c r="H204" s="28"/>
      <c r="I204" s="34"/>
      <c r="J204" s="34"/>
      <c r="K204" s="34"/>
      <c r="L204" s="34"/>
      <c r="M204" s="34"/>
      <c r="N204" s="34"/>
      <c r="O204" s="34"/>
      <c r="P204" s="34"/>
      <c r="Q204" s="34"/>
      <c r="R204" s="34"/>
      <c r="S204" s="34"/>
      <c r="T204" s="34"/>
      <c r="U204" s="34"/>
      <c r="V204" s="34"/>
      <c r="W204" s="34"/>
      <c r="X204" s="34"/>
      <c r="Y204" s="34"/>
      <c r="Z204" s="34"/>
    </row>
    <row r="205" spans="1:62" s="3" customFormat="1" ht="3.95" customHeight="1" x14ac:dyDescent="0.2">
      <c r="A205" s="29"/>
      <c r="B205" s="29"/>
      <c r="C205" s="29"/>
      <c r="D205" s="310"/>
      <c r="E205" s="310"/>
      <c r="F205" s="43"/>
      <c r="G205" s="43"/>
      <c r="H205" s="43"/>
      <c r="I205" s="43"/>
      <c r="J205" s="43"/>
      <c r="K205" s="43"/>
      <c r="L205" s="43"/>
      <c r="M205" s="43"/>
      <c r="N205" s="43"/>
      <c r="O205" s="43"/>
      <c r="P205" s="43"/>
      <c r="Q205" s="43"/>
      <c r="R205" s="43"/>
      <c r="S205" s="43"/>
      <c r="T205" s="43"/>
      <c r="U205" s="43"/>
      <c r="V205" s="43"/>
      <c r="W205" s="43"/>
      <c r="X205" s="43"/>
      <c r="Y205" s="43"/>
      <c r="Z205" s="43"/>
      <c r="AA205" s="43"/>
      <c r="AB205" s="43"/>
      <c r="AC205" s="43"/>
      <c r="AD205" s="43"/>
      <c r="AE205" s="43"/>
      <c r="AF205" s="43"/>
      <c r="AG205" s="43"/>
      <c r="AH205" s="43"/>
      <c r="AI205" s="43"/>
      <c r="AJ205" s="43"/>
      <c r="AK205" s="43"/>
      <c r="AL205" s="43"/>
      <c r="AM205" s="43"/>
      <c r="AN205" s="43"/>
      <c r="AX205" s="94"/>
      <c r="AZ205" s="34"/>
      <c r="BA205" s="44"/>
      <c r="BB205" s="34"/>
      <c r="BC205" s="34"/>
      <c r="BD205" s="34"/>
      <c r="BE205" s="34"/>
      <c r="BF205" s="34"/>
      <c r="BG205" s="34"/>
      <c r="BH205" s="34"/>
      <c r="BJ205" s="43"/>
    </row>
    <row r="206" spans="1:62" ht="12" hidden="1" customHeight="1" x14ac:dyDescent="0.2">
      <c r="C206" s="29"/>
      <c r="D206" s="310"/>
      <c r="E206" s="309">
        <v>1</v>
      </c>
      <c r="H206" s="322"/>
      <c r="I206" s="322"/>
      <c r="J206" s="322"/>
      <c r="K206" s="322"/>
      <c r="L206" s="322"/>
      <c r="M206" s="322"/>
      <c r="N206" s="322"/>
      <c r="O206" s="322"/>
      <c r="P206" s="322"/>
      <c r="Q206" s="322"/>
      <c r="R206" s="322"/>
      <c r="S206" s="322"/>
      <c r="T206" s="322"/>
      <c r="U206" s="322"/>
      <c r="V206" s="322"/>
      <c r="W206" s="322"/>
      <c r="X206" s="322"/>
      <c r="Y206" s="322"/>
      <c r="Z206" s="322"/>
      <c r="BB206" s="34"/>
      <c r="BC206" s="34"/>
      <c r="BD206" s="34"/>
      <c r="BE206" s="34"/>
      <c r="BF206" s="34"/>
      <c r="BG206" s="34"/>
      <c r="BH206" s="34"/>
    </row>
    <row r="207" spans="1:62" ht="12" hidden="1" customHeight="1" x14ac:dyDescent="0.2">
      <c r="C207" s="29"/>
      <c r="D207" s="310"/>
      <c r="E207" s="309"/>
      <c r="H207" s="71" t="s">
        <v>35</v>
      </c>
      <c r="I207" s="314" t="s">
        <v>36</v>
      </c>
      <c r="J207" s="314"/>
      <c r="K207" s="314"/>
      <c r="L207" s="314"/>
      <c r="M207" s="314"/>
      <c r="N207" s="314"/>
      <c r="O207" s="314"/>
      <c r="P207" s="314"/>
      <c r="Q207" s="314"/>
      <c r="R207" s="314"/>
      <c r="S207" s="314"/>
      <c r="T207" s="314"/>
      <c r="U207" s="314"/>
      <c r="V207" s="314"/>
      <c r="W207" s="314"/>
      <c r="X207" s="314"/>
      <c r="Y207" s="314"/>
      <c r="Z207" s="315"/>
      <c r="AD207" s="93"/>
      <c r="BA207" s="34"/>
      <c r="BJ207" s="3"/>
    </row>
    <row r="208" spans="1:62" ht="12" hidden="1" customHeight="1" x14ac:dyDescent="0.2">
      <c r="C208" s="29"/>
      <c r="D208" s="310"/>
      <c r="E208" s="309"/>
      <c r="AD208" s="93"/>
      <c r="AE208" s="93"/>
      <c r="AF208" s="93"/>
      <c r="AG208" s="93"/>
      <c r="AH208" s="93"/>
      <c r="AI208" s="93"/>
      <c r="AJ208" s="93"/>
      <c r="AK208" s="93"/>
      <c r="AL208" s="93"/>
      <c r="AM208" s="93"/>
      <c r="AN208" s="93"/>
      <c r="AO208" s="93"/>
      <c r="AP208" s="93"/>
      <c r="AQ208" s="93"/>
      <c r="AR208" s="93"/>
      <c r="AS208" s="93"/>
      <c r="AT208" s="93"/>
      <c r="AU208" s="93"/>
      <c r="AV208" s="93"/>
      <c r="AW208" s="93"/>
      <c r="BA208" s="34"/>
    </row>
    <row r="209" spans="1:62" ht="6" hidden="1" customHeight="1" x14ac:dyDescent="0.2">
      <c r="C209" s="29"/>
      <c r="D209" s="310"/>
      <c r="E209" s="309"/>
      <c r="G209" s="69"/>
      <c r="BB209" s="34"/>
      <c r="BC209" s="34"/>
      <c r="BD209" s="34"/>
      <c r="BE209" s="34"/>
      <c r="BF209" s="34"/>
      <c r="BG209" s="34"/>
      <c r="BH209" s="34"/>
    </row>
    <row r="210" spans="1:62" ht="12" hidden="1" customHeight="1" x14ac:dyDescent="0.2">
      <c r="C210" s="29"/>
      <c r="D210" s="310"/>
      <c r="E210" s="309"/>
      <c r="H210" s="25"/>
      <c r="I210" s="25"/>
      <c r="J210" s="25"/>
      <c r="K210" s="25"/>
      <c r="L210" s="25"/>
      <c r="M210" s="25"/>
      <c r="N210" s="25"/>
      <c r="O210" s="25"/>
      <c r="P210" s="25"/>
      <c r="Q210" s="25"/>
      <c r="R210" s="25"/>
      <c r="S210" s="25"/>
      <c r="T210" s="25"/>
      <c r="U210" s="25"/>
      <c r="V210" s="25"/>
      <c r="W210" s="25"/>
      <c r="X210" s="25"/>
      <c r="Y210" s="25"/>
      <c r="AD210" s="25"/>
      <c r="AE210" s="25"/>
      <c r="AF210" s="25"/>
      <c r="AG210" s="25"/>
      <c r="AH210" s="25"/>
      <c r="AI210" s="25"/>
      <c r="AJ210" s="25"/>
      <c r="AK210" s="25"/>
      <c r="AL210" s="25"/>
      <c r="AM210" s="25"/>
      <c r="AN210" s="25"/>
      <c r="AO210" s="25"/>
      <c r="AP210" s="25"/>
      <c r="AQ210" s="25"/>
      <c r="AR210" s="25"/>
      <c r="AS210" s="25"/>
      <c r="AT210" s="25"/>
      <c r="AU210" s="25"/>
      <c r="AV210" s="25"/>
      <c r="AW210" s="25"/>
      <c r="BB210" s="34"/>
      <c r="BC210" s="34"/>
      <c r="BD210" s="34"/>
      <c r="BE210" s="34"/>
      <c r="BF210" s="34"/>
      <c r="BG210" s="34"/>
      <c r="BH210" s="34"/>
    </row>
    <row r="211" spans="1:62" ht="12" hidden="1" customHeight="1" x14ac:dyDescent="0.2">
      <c r="C211" s="29"/>
      <c r="D211" s="310"/>
      <c r="E211" s="309"/>
      <c r="H211" s="81" t="s">
        <v>39</v>
      </c>
      <c r="I211" s="231" t="s">
        <v>169</v>
      </c>
      <c r="J211" s="231"/>
      <c r="K211" s="231"/>
      <c r="L211" s="231"/>
      <c r="M211" s="231"/>
      <c r="N211" s="231"/>
      <c r="O211" s="231"/>
      <c r="P211" s="231"/>
      <c r="Q211" s="231"/>
      <c r="R211" s="231"/>
      <c r="S211" s="231"/>
      <c r="T211" s="231"/>
      <c r="U211" s="231"/>
      <c r="V211" s="231"/>
      <c r="W211" s="231"/>
      <c r="X211" s="231"/>
      <c r="Y211" s="231"/>
      <c r="Z211" s="232"/>
      <c r="BA211" s="34"/>
    </row>
    <row r="212" spans="1:62" ht="12" hidden="1" customHeight="1" x14ac:dyDescent="0.2">
      <c r="C212" s="29"/>
      <c r="D212" s="310"/>
      <c r="E212" s="309"/>
      <c r="H212" s="28" t="s">
        <v>170</v>
      </c>
      <c r="I212" s="316"/>
      <c r="J212" s="316"/>
      <c r="K212" s="316"/>
      <c r="L212" s="316"/>
      <c r="M212" s="316"/>
      <c r="N212" s="316"/>
      <c r="O212" s="316"/>
      <c r="P212" s="316"/>
      <c r="Q212" s="316"/>
      <c r="R212" s="316"/>
      <c r="S212" s="316"/>
      <c r="T212" s="316"/>
      <c r="U212" s="316"/>
      <c r="V212" s="316"/>
      <c r="W212" s="316"/>
      <c r="X212" s="316"/>
      <c r="Y212" s="316"/>
      <c r="Z212" s="316"/>
      <c r="BA212" s="34"/>
      <c r="BB212" s="43"/>
      <c r="BC212" s="43"/>
      <c r="BD212" s="43"/>
      <c r="BE212" s="43"/>
      <c r="BF212" s="43"/>
      <c r="BG212" s="43"/>
      <c r="BH212" s="43"/>
    </row>
    <row r="213" spans="1:62" ht="12" hidden="1" customHeight="1" x14ac:dyDescent="0.2">
      <c r="C213" s="29"/>
      <c r="D213" s="310"/>
      <c r="E213" s="309"/>
      <c r="H213" s="28" t="s">
        <v>37</v>
      </c>
      <c r="I213" s="321"/>
      <c r="J213" s="321"/>
      <c r="K213" s="321"/>
      <c r="L213" s="321"/>
      <c r="M213" s="321"/>
      <c r="N213" s="321"/>
      <c r="O213" s="321"/>
      <c r="P213" s="321"/>
      <c r="Q213" s="321"/>
      <c r="R213" s="321"/>
      <c r="S213" s="321"/>
      <c r="T213" s="321"/>
      <c r="U213" s="321"/>
      <c r="V213" s="321"/>
      <c r="W213" s="321"/>
      <c r="X213" s="321"/>
      <c r="Y213" s="321"/>
      <c r="Z213" s="321"/>
      <c r="BA213" s="34"/>
      <c r="BB213" s="34"/>
      <c r="BC213" s="43"/>
      <c r="BD213" s="43"/>
      <c r="BE213" s="43"/>
      <c r="BF213" s="43"/>
      <c r="BG213" s="43"/>
      <c r="BH213" s="43"/>
    </row>
    <row r="214" spans="1:62" ht="12" hidden="1" customHeight="1" x14ac:dyDescent="0.2">
      <c r="C214" s="29"/>
      <c r="D214" s="310"/>
      <c r="E214" s="309"/>
      <c r="BA214" s="34"/>
    </row>
    <row r="215" spans="1:62" s="3" customFormat="1" ht="3.95" hidden="1" customHeight="1" x14ac:dyDescent="0.2">
      <c r="A215" s="29"/>
      <c r="B215" s="29"/>
      <c r="C215" s="29"/>
      <c r="D215" s="310"/>
      <c r="E215" s="309"/>
      <c r="F215" s="43"/>
      <c r="G215" s="43"/>
      <c r="H215" s="43"/>
      <c r="I215" s="43"/>
      <c r="J215" s="43"/>
      <c r="K215" s="43"/>
      <c r="L215" s="43"/>
      <c r="M215" s="43"/>
      <c r="N215" s="43"/>
      <c r="O215" s="43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  <c r="AA215" s="43"/>
      <c r="AB215" s="43"/>
      <c r="AC215" s="43"/>
      <c r="AD215" s="43"/>
      <c r="AE215" s="43"/>
      <c r="AF215" s="43"/>
      <c r="AG215" s="43"/>
      <c r="AH215" s="43"/>
      <c r="AI215" s="43"/>
      <c r="AJ215" s="43"/>
      <c r="AK215" s="43"/>
      <c r="AL215" s="43"/>
      <c r="AM215" s="43"/>
      <c r="AN215" s="43"/>
      <c r="AX215" s="94"/>
      <c r="AZ215" s="34"/>
      <c r="BA215" s="34"/>
      <c r="BJ215" s="43"/>
    </row>
    <row r="216" spans="1:62" s="3" customFormat="1" ht="12" customHeight="1" x14ac:dyDescent="0.2">
      <c r="A216" s="29"/>
      <c r="B216" s="29"/>
      <c r="C216" s="29"/>
      <c r="D216" s="29"/>
      <c r="E216" s="5"/>
      <c r="F216" s="43"/>
      <c r="W216" s="93"/>
      <c r="X216" s="93"/>
      <c r="Y216" s="93"/>
      <c r="Z216" s="93"/>
      <c r="AA216" s="93"/>
      <c r="AB216" s="93"/>
      <c r="AC216" s="93"/>
      <c r="AD216" s="93"/>
      <c r="AE216" s="93"/>
      <c r="AF216" s="93"/>
      <c r="AG216" s="93"/>
      <c r="AH216" s="93"/>
      <c r="AI216" s="93"/>
      <c r="AJ216" s="93"/>
      <c r="AK216" s="93"/>
      <c r="AL216" s="93"/>
      <c r="AM216" s="93"/>
      <c r="AN216" s="93"/>
      <c r="AO216" s="93"/>
      <c r="AP216" s="93"/>
      <c r="AQ216" s="93"/>
      <c r="AR216" s="93"/>
      <c r="AS216" s="93"/>
      <c r="AT216" s="93"/>
      <c r="AU216" s="93"/>
      <c r="AV216" s="93"/>
      <c r="AW216" s="93"/>
      <c r="AX216" s="93"/>
      <c r="AY216" s="93"/>
      <c r="AZ216" s="34"/>
      <c r="BA216" s="34"/>
      <c r="BB216" s="34"/>
      <c r="BC216" s="34"/>
      <c r="BD216" s="34"/>
      <c r="BE216" s="34"/>
      <c r="BF216" s="34"/>
      <c r="BG216" s="34"/>
      <c r="BH216" s="34"/>
      <c r="BJ216" s="43"/>
    </row>
    <row r="217" spans="1:62" s="3" customFormat="1" ht="12" customHeight="1" x14ac:dyDescent="0.2">
      <c r="A217" s="29">
        <v>0</v>
      </c>
      <c r="B217" s="29"/>
      <c r="C217" s="29"/>
      <c r="D217" s="29"/>
      <c r="E217" s="5"/>
      <c r="F217" s="43"/>
      <c r="G217" s="93"/>
      <c r="H217" s="93"/>
      <c r="I217" s="334" t="s">
        <v>171</v>
      </c>
      <c r="J217" s="335"/>
      <c r="K217" s="335"/>
      <c r="L217" s="335"/>
      <c r="M217" s="335"/>
      <c r="N217" s="335"/>
      <c r="O217" s="335"/>
      <c r="P217" s="335"/>
      <c r="Q217" s="335"/>
      <c r="R217" s="335"/>
      <c r="S217" s="335"/>
      <c r="T217" s="335"/>
      <c r="U217" s="335"/>
      <c r="V217" s="335"/>
      <c r="W217" s="335"/>
      <c r="X217" s="335"/>
      <c r="Y217" s="335"/>
      <c r="Z217" s="335"/>
      <c r="AA217" s="335"/>
      <c r="AB217" s="335"/>
      <c r="AC217" s="335"/>
      <c r="AD217" s="335"/>
      <c r="AE217" s="335"/>
      <c r="AF217" s="335"/>
      <c r="AG217" s="335"/>
      <c r="AH217" s="335"/>
      <c r="AI217" s="335"/>
      <c r="AJ217" s="335"/>
      <c r="AK217" s="335"/>
      <c r="AL217" s="335"/>
      <c r="AM217" s="335"/>
      <c r="AN217" s="335"/>
      <c r="AO217" s="335"/>
      <c r="AP217" s="335"/>
      <c r="AQ217" s="335"/>
      <c r="AR217" s="335"/>
      <c r="AS217" s="335"/>
      <c r="AT217" s="335"/>
      <c r="AU217" s="336"/>
      <c r="AV217" s="93"/>
      <c r="AW217" s="93"/>
      <c r="AX217" s="93"/>
      <c r="AY217" s="93"/>
      <c r="AZ217" s="34"/>
      <c r="BB217" s="34"/>
      <c r="BC217" s="34"/>
      <c r="BD217" s="34"/>
      <c r="BE217" s="34"/>
      <c r="BF217" s="34"/>
      <c r="BG217" s="34"/>
      <c r="BH217" s="34"/>
    </row>
    <row r="218" spans="1:62" x14ac:dyDescent="0.2">
      <c r="BA218" s="34"/>
      <c r="BJ218" s="3"/>
    </row>
    <row r="219" spans="1:62" x14ac:dyDescent="0.2">
      <c r="BA219" s="34"/>
      <c r="BJ219" s="3"/>
    </row>
    <row r="220" spans="1:62" x14ac:dyDescent="0.2">
      <c r="BG220" s="43"/>
      <c r="BH220" s="43"/>
    </row>
    <row r="221" spans="1:62" x14ac:dyDescent="0.2">
      <c r="BG221" s="43"/>
      <c r="BH221" s="43"/>
    </row>
    <row r="222" spans="1:62" x14ac:dyDescent="0.2">
      <c r="BG222" s="43"/>
      <c r="BH222" s="43"/>
    </row>
    <row r="223" spans="1:62" x14ac:dyDescent="0.2">
      <c r="H223" s="93"/>
      <c r="I223" s="93"/>
      <c r="J223" s="93"/>
      <c r="K223" s="93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  <c r="X223" s="93"/>
      <c r="Y223" s="93"/>
      <c r="Z223" s="93"/>
      <c r="AA223" s="93"/>
      <c r="AB223" s="93"/>
      <c r="AC223" s="93"/>
      <c r="AD223" s="93"/>
      <c r="AE223" s="93"/>
      <c r="AF223" s="93"/>
      <c r="AG223" s="93"/>
      <c r="AH223" s="93"/>
      <c r="AI223" s="93"/>
      <c r="AJ223" s="93"/>
      <c r="AK223" s="93"/>
      <c r="AL223" s="93"/>
      <c r="AM223" s="93"/>
      <c r="AN223" s="93"/>
      <c r="AO223" s="93"/>
      <c r="AP223" s="93"/>
      <c r="AQ223" s="93"/>
      <c r="AR223" s="93"/>
      <c r="AS223" s="93"/>
      <c r="AT223" s="93"/>
      <c r="AU223" s="93"/>
      <c r="AV223" s="93"/>
      <c r="BG223" s="43"/>
      <c r="BH223" s="43"/>
    </row>
    <row r="224" spans="1:62" x14ac:dyDescent="0.2">
      <c r="H224" s="93"/>
      <c r="I224" s="93"/>
      <c r="J224" s="93"/>
      <c r="K224" s="93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  <c r="X224" s="93"/>
      <c r="Y224" s="93"/>
      <c r="Z224" s="93"/>
      <c r="AA224" s="93"/>
      <c r="AB224" s="93"/>
      <c r="AC224" s="93"/>
      <c r="AD224" s="93"/>
      <c r="AE224" s="93"/>
      <c r="AF224" s="93"/>
      <c r="AG224" s="93"/>
      <c r="AH224" s="93"/>
      <c r="AI224" s="93"/>
      <c r="AJ224" s="93"/>
      <c r="AK224" s="93"/>
      <c r="AL224" s="93"/>
      <c r="AM224" s="93"/>
      <c r="AN224" s="93"/>
      <c r="AO224" s="93"/>
      <c r="AP224" s="93"/>
      <c r="AQ224" s="93"/>
      <c r="AR224" s="93"/>
      <c r="AS224" s="93"/>
      <c r="AT224" s="93"/>
      <c r="AU224" s="93"/>
      <c r="AV224" s="93"/>
    </row>
    <row r="225" spans="7:48" x14ac:dyDescent="0.2">
      <c r="G225" s="93"/>
      <c r="H225" s="93"/>
      <c r="I225" s="93"/>
      <c r="J225" s="93"/>
      <c r="K225" s="93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  <c r="X225" s="93"/>
      <c r="Y225" s="93"/>
      <c r="Z225" s="93"/>
      <c r="AA225" s="93"/>
      <c r="AB225" s="93"/>
      <c r="AC225" s="93"/>
      <c r="AD225" s="93"/>
      <c r="AE225" s="93"/>
      <c r="AF225" s="93"/>
      <c r="AG225" s="93"/>
      <c r="AH225" s="93"/>
      <c r="AI225" s="93"/>
      <c r="AJ225" s="93"/>
      <c r="AK225" s="93"/>
      <c r="AL225" s="93"/>
      <c r="AM225" s="93"/>
      <c r="AN225" s="93"/>
      <c r="AO225" s="93"/>
      <c r="AP225" s="93"/>
      <c r="AQ225" s="93"/>
      <c r="AR225" s="93"/>
      <c r="AS225" s="93"/>
      <c r="AT225" s="93"/>
      <c r="AU225" s="93"/>
      <c r="AV225" s="93"/>
    </row>
    <row r="226" spans="7:48" x14ac:dyDescent="0.2">
      <c r="H226" s="93"/>
      <c r="I226" s="93"/>
      <c r="J226" s="93"/>
      <c r="K226" s="93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  <c r="X226" s="93"/>
      <c r="Y226" s="93"/>
      <c r="Z226" s="93"/>
      <c r="AA226" s="93"/>
      <c r="AB226" s="93"/>
      <c r="AC226" s="93"/>
      <c r="AD226" s="93"/>
      <c r="AE226" s="93"/>
      <c r="AF226" s="93"/>
      <c r="AG226" s="93"/>
      <c r="AH226" s="93"/>
      <c r="AI226" s="93"/>
      <c r="AJ226" s="93"/>
      <c r="AK226" s="93"/>
      <c r="AL226" s="93"/>
      <c r="AM226" s="93"/>
      <c r="AN226" s="93"/>
      <c r="AO226" s="93"/>
      <c r="AP226" s="93"/>
      <c r="AQ226" s="93"/>
      <c r="AR226" s="93"/>
      <c r="AS226" s="93"/>
      <c r="AT226" s="93"/>
      <c r="AU226" s="93"/>
      <c r="AV226" s="93"/>
    </row>
    <row r="227" spans="7:48" x14ac:dyDescent="0.2">
      <c r="H227" s="93"/>
      <c r="I227" s="93"/>
      <c r="J227" s="93"/>
      <c r="K227" s="93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  <c r="X227" s="93"/>
      <c r="Y227" s="93"/>
      <c r="Z227" s="93"/>
      <c r="AA227" s="93"/>
      <c r="AB227" s="93"/>
      <c r="AC227" s="93"/>
      <c r="AD227" s="93"/>
      <c r="AE227" s="93"/>
      <c r="AF227" s="93"/>
      <c r="AG227" s="93"/>
      <c r="AH227" s="93"/>
      <c r="AI227" s="93"/>
      <c r="AJ227" s="93"/>
      <c r="AK227" s="93"/>
      <c r="AL227" s="93"/>
      <c r="AM227" s="93"/>
      <c r="AN227" s="93"/>
      <c r="AO227" s="93"/>
      <c r="AP227" s="93"/>
      <c r="AQ227" s="93"/>
      <c r="AR227" s="93"/>
      <c r="AS227" s="93"/>
      <c r="AT227" s="93"/>
      <c r="AU227" s="93"/>
      <c r="AV227" s="93"/>
    </row>
  </sheetData>
  <sheetCalcPr fullCalcOnLoad="1"/>
  <sheetProtection sheet="1" formatCells="0" formatColumns="0" formatRows="0" selectLockedCells="1" sort="0" autoFilter="0"/>
  <mergeCells count="309">
    <mergeCell ref="AE202:AV202"/>
    <mergeCell ref="I217:AU217"/>
    <mergeCell ref="AO203:AV203"/>
    <mergeCell ref="Y91:AA91"/>
    <mergeCell ref="AC88:AW91"/>
    <mergeCell ref="I212:Z212"/>
    <mergeCell ref="I91:R91"/>
    <mergeCell ref="V91:X91"/>
    <mergeCell ref="S91:U91"/>
    <mergeCell ref="AE203:AJ203"/>
    <mergeCell ref="I213:Z213"/>
    <mergeCell ref="H206:Z206"/>
    <mergeCell ref="Y88:AA88"/>
    <mergeCell ref="I88:R88"/>
    <mergeCell ref="I203:P203"/>
    <mergeCell ref="H196:Z196"/>
    <mergeCell ref="G89:H90"/>
    <mergeCell ref="S89:U90"/>
    <mergeCell ref="V89:X90"/>
    <mergeCell ref="I89:R90"/>
    <mergeCell ref="AE197:AV197"/>
    <mergeCell ref="AC128:AW143"/>
    <mergeCell ref="AE198:AJ198"/>
    <mergeCell ref="E206:E215"/>
    <mergeCell ref="I211:Z211"/>
    <mergeCell ref="I202:Z202"/>
    <mergeCell ref="I201:Z201"/>
    <mergeCell ref="G128:AA143"/>
    <mergeCell ref="I197:Z197"/>
    <mergeCell ref="AE201:AV201"/>
    <mergeCell ref="V82:X82"/>
    <mergeCell ref="D196:D215"/>
    <mergeCell ref="E196:E205"/>
    <mergeCell ref="G91:H91"/>
    <mergeCell ref="G88:H88"/>
    <mergeCell ref="V88:X88"/>
    <mergeCell ref="G86:H86"/>
    <mergeCell ref="I86:R86"/>
    <mergeCell ref="S86:U86"/>
    <mergeCell ref="I207:Z207"/>
    <mergeCell ref="Y76:AA76"/>
    <mergeCell ref="AC77:AW87"/>
    <mergeCell ref="V84:X84"/>
    <mergeCell ref="Y83:AA83"/>
    <mergeCell ref="V83:X83"/>
    <mergeCell ref="Y85:AA85"/>
    <mergeCell ref="Y79:AA79"/>
    <mergeCell ref="Y86:AA86"/>
    <mergeCell ref="Y82:AA82"/>
    <mergeCell ref="AC76:AW76"/>
    <mergeCell ref="AS74:AW74"/>
    <mergeCell ref="AL35:AM35"/>
    <mergeCell ref="Y74:AA74"/>
    <mergeCell ref="Y68:AA68"/>
    <mergeCell ref="Y69:AA69"/>
    <mergeCell ref="AS72:AW73"/>
    <mergeCell ref="AK65:AO65"/>
    <mergeCell ref="AS68:AW68"/>
    <mergeCell ref="AC70:AR70"/>
    <mergeCell ref="AF35:AG35"/>
    <mergeCell ref="G26:I26"/>
    <mergeCell ref="G24:I24"/>
    <mergeCell ref="G25:I25"/>
    <mergeCell ref="K26:AW26"/>
    <mergeCell ref="K24:AW24"/>
    <mergeCell ref="K25:AW25"/>
    <mergeCell ref="V69:X69"/>
    <mergeCell ref="K27:AW27"/>
    <mergeCell ref="K29:AW29"/>
    <mergeCell ref="G29:I29"/>
    <mergeCell ref="G30:I30"/>
    <mergeCell ref="G27:I27"/>
    <mergeCell ref="G28:I28"/>
    <mergeCell ref="K30:AW30"/>
    <mergeCell ref="K28:AW28"/>
    <mergeCell ref="G31:I31"/>
    <mergeCell ref="AF34:AP34"/>
    <mergeCell ref="AH35:AK35"/>
    <mergeCell ref="U35:AB35"/>
    <mergeCell ref="AD35:AE35"/>
    <mergeCell ref="U34:V34"/>
    <mergeCell ref="K31:AW31"/>
    <mergeCell ref="AR35:AW35"/>
    <mergeCell ref="W34:AB34"/>
    <mergeCell ref="AD34:AE34"/>
    <mergeCell ref="AR34:AW34"/>
    <mergeCell ref="G82:H82"/>
    <mergeCell ref="I82:R82"/>
    <mergeCell ref="V68:X68"/>
    <mergeCell ref="U37:AV37"/>
    <mergeCell ref="AC69:AR69"/>
    <mergeCell ref="AC72:AR73"/>
    <mergeCell ref="AS70:AW70"/>
    <mergeCell ref="S82:U82"/>
    <mergeCell ref="G81:H81"/>
    <mergeCell ref="I81:R81"/>
    <mergeCell ref="I87:R87"/>
    <mergeCell ref="S88:U88"/>
    <mergeCell ref="G87:H87"/>
    <mergeCell ref="V87:X87"/>
    <mergeCell ref="V86:X86"/>
    <mergeCell ref="G85:H85"/>
    <mergeCell ref="I85:R85"/>
    <mergeCell ref="S87:U87"/>
    <mergeCell ref="V85:X85"/>
    <mergeCell ref="G83:H83"/>
    <mergeCell ref="I83:R83"/>
    <mergeCell ref="G84:H84"/>
    <mergeCell ref="I84:R84"/>
    <mergeCell ref="S85:U85"/>
    <mergeCell ref="S84:U84"/>
    <mergeCell ref="S83:U83"/>
    <mergeCell ref="Y81:AA81"/>
    <mergeCell ref="S80:U80"/>
    <mergeCell ref="V80:X80"/>
    <mergeCell ref="S81:U81"/>
    <mergeCell ref="V81:X81"/>
    <mergeCell ref="G80:H80"/>
    <mergeCell ref="I80:R80"/>
    <mergeCell ref="G79:H79"/>
    <mergeCell ref="I79:R79"/>
    <mergeCell ref="S79:U79"/>
    <mergeCell ref="V79:X79"/>
    <mergeCell ref="G77:H77"/>
    <mergeCell ref="G78:H78"/>
    <mergeCell ref="I78:R78"/>
    <mergeCell ref="V78:X78"/>
    <mergeCell ref="S78:U78"/>
    <mergeCell ref="I77:R77"/>
    <mergeCell ref="V77:X77"/>
    <mergeCell ref="G75:H75"/>
    <mergeCell ref="I75:R75"/>
    <mergeCell ref="S75:U75"/>
    <mergeCell ref="G76:H76"/>
    <mergeCell ref="I76:R76"/>
    <mergeCell ref="S76:U76"/>
    <mergeCell ref="V76:X76"/>
    <mergeCell ref="AS67:AW67"/>
    <mergeCell ref="Y72:AA72"/>
    <mergeCell ref="Y73:AA73"/>
    <mergeCell ref="AS71:AW71"/>
    <mergeCell ref="AC74:AR74"/>
    <mergeCell ref="V73:X73"/>
    <mergeCell ref="AS69:AW69"/>
    <mergeCell ref="V71:X71"/>
    <mergeCell ref="AC68:AR68"/>
    <mergeCell ref="Y70:AA70"/>
    <mergeCell ref="AC71:AR71"/>
    <mergeCell ref="G96:AA111"/>
    <mergeCell ref="G112:AA127"/>
    <mergeCell ref="G70:H70"/>
    <mergeCell ref="S72:U72"/>
    <mergeCell ref="V72:X72"/>
    <mergeCell ref="I73:R73"/>
    <mergeCell ref="S73:U73"/>
    <mergeCell ref="G71:H71"/>
    <mergeCell ref="V70:X70"/>
    <mergeCell ref="G72:H72"/>
    <mergeCell ref="G74:H74"/>
    <mergeCell ref="I74:R74"/>
    <mergeCell ref="S74:U74"/>
    <mergeCell ref="G73:H73"/>
    <mergeCell ref="Y80:AA80"/>
    <mergeCell ref="I72:R72"/>
    <mergeCell ref="V74:X74"/>
    <mergeCell ref="S77:U77"/>
    <mergeCell ref="V75:X75"/>
    <mergeCell ref="Y71:AA71"/>
    <mergeCell ref="AC112:AW127"/>
    <mergeCell ref="Y87:AA87"/>
    <mergeCell ref="Y84:AA84"/>
    <mergeCell ref="Y78:AA78"/>
    <mergeCell ref="AC75:AP75"/>
    <mergeCell ref="AQ75:AW75"/>
    <mergeCell ref="Y77:AA77"/>
    <mergeCell ref="Y75:AA75"/>
    <mergeCell ref="Y89:AA90"/>
    <mergeCell ref="I68:R68"/>
    <mergeCell ref="I69:R69"/>
    <mergeCell ref="S68:U68"/>
    <mergeCell ref="G68:H68"/>
    <mergeCell ref="S71:U71"/>
    <mergeCell ref="I70:R70"/>
    <mergeCell ref="S70:U70"/>
    <mergeCell ref="S69:U69"/>
    <mergeCell ref="AE196:AV196"/>
    <mergeCell ref="AC96:AW111"/>
    <mergeCell ref="U38:AV38"/>
    <mergeCell ref="G61:AA61"/>
    <mergeCell ref="AC67:AR67"/>
    <mergeCell ref="AP65:AW65"/>
    <mergeCell ref="AS63:AW63"/>
    <mergeCell ref="AC64:AW64"/>
    <mergeCell ref="I71:R71"/>
    <mergeCell ref="G69:H69"/>
    <mergeCell ref="S63:U66"/>
    <mergeCell ref="G62:AA62"/>
    <mergeCell ref="AP46:AQ46"/>
    <mergeCell ref="AS50:AT50"/>
    <mergeCell ref="AL48:AW48"/>
    <mergeCell ref="G53:P53"/>
    <mergeCell ref="Q53:Z53"/>
    <mergeCell ref="Q52:R52"/>
    <mergeCell ref="W55:Y55"/>
    <mergeCell ref="AC65:AJ65"/>
    <mergeCell ref="J55:N55"/>
    <mergeCell ref="AS51:AW51"/>
    <mergeCell ref="AS52:AT52"/>
    <mergeCell ref="AL52:AR52"/>
    <mergeCell ref="G52:H52"/>
    <mergeCell ref="I52:P52"/>
    <mergeCell ref="AA53:AI53"/>
    <mergeCell ref="AU52:AW52"/>
    <mergeCell ref="S52:Z52"/>
    <mergeCell ref="I56:AW56"/>
    <mergeCell ref="AS53:AW53"/>
    <mergeCell ref="AL57:AW57"/>
    <mergeCell ref="I54:AW54"/>
    <mergeCell ref="G54:H54"/>
    <mergeCell ref="Z55:AF55"/>
    <mergeCell ref="AG55:AW55"/>
    <mergeCell ref="O55:Q55"/>
    <mergeCell ref="R55:V55"/>
    <mergeCell ref="G55:I55"/>
    <mergeCell ref="K22:AW22"/>
    <mergeCell ref="AR42:AW42"/>
    <mergeCell ref="AJ49:AW49"/>
    <mergeCell ref="I50:U50"/>
    <mergeCell ref="AJ46:AO46"/>
    <mergeCell ref="AC50:AR50"/>
    <mergeCell ref="AJ48:AK48"/>
    <mergeCell ref="AU50:AW50"/>
    <mergeCell ref="I48:AI48"/>
    <mergeCell ref="AP45:AQ45"/>
    <mergeCell ref="G49:AI49"/>
    <mergeCell ref="AJ53:AR53"/>
    <mergeCell ref="V50:W50"/>
    <mergeCell ref="X50:Z50"/>
    <mergeCell ref="G51:U51"/>
    <mergeCell ref="V51:Z51"/>
    <mergeCell ref="AA51:AR51"/>
    <mergeCell ref="AA52:AB52"/>
    <mergeCell ref="AC52:AI52"/>
    <mergeCell ref="AJ52:AK52"/>
    <mergeCell ref="AR45:AW45"/>
    <mergeCell ref="AR43:AW43"/>
    <mergeCell ref="G42:H42"/>
    <mergeCell ref="I42:AI42"/>
    <mergeCell ref="AJ42:AK42"/>
    <mergeCell ref="AL42:AO42"/>
    <mergeCell ref="AH45:AI45"/>
    <mergeCell ref="Z45:AA45"/>
    <mergeCell ref="T3:AU3"/>
    <mergeCell ref="T4:AU4"/>
    <mergeCell ref="T5:AU5"/>
    <mergeCell ref="AJ45:AK45"/>
    <mergeCell ref="AL45:AO45"/>
    <mergeCell ref="AB45:AG45"/>
    <mergeCell ref="G43:AI43"/>
    <mergeCell ref="AJ43:AO43"/>
    <mergeCell ref="AP43:AQ43"/>
    <mergeCell ref="AP42:AQ42"/>
    <mergeCell ref="G48:H48"/>
    <mergeCell ref="G10:I10"/>
    <mergeCell ref="K10:M10"/>
    <mergeCell ref="O10:AW11"/>
    <mergeCell ref="G20:AW20"/>
    <mergeCell ref="G18:AW18"/>
    <mergeCell ref="G13:I13"/>
    <mergeCell ref="K13:M13"/>
    <mergeCell ref="O13:AW16"/>
    <mergeCell ref="AR46:AW46"/>
    <mergeCell ref="AC66:AW66"/>
    <mergeCell ref="G22:I22"/>
    <mergeCell ref="G50:H50"/>
    <mergeCell ref="G45:H45"/>
    <mergeCell ref="I45:Y45"/>
    <mergeCell ref="G47:AW47"/>
    <mergeCell ref="G46:Y46"/>
    <mergeCell ref="Z46:AG46"/>
    <mergeCell ref="AH46:AI46"/>
    <mergeCell ref="AA50:AB50"/>
    <mergeCell ref="G63:R67"/>
    <mergeCell ref="Y67:AA67"/>
    <mergeCell ref="G57:I57"/>
    <mergeCell ref="G56:H56"/>
    <mergeCell ref="V63:X66"/>
    <mergeCell ref="Y63:AA66"/>
    <mergeCell ref="V67:X67"/>
    <mergeCell ref="S67:U67"/>
    <mergeCell ref="U57:W57"/>
    <mergeCell ref="J57:T57"/>
    <mergeCell ref="BG57:BH57"/>
    <mergeCell ref="AC61:AW61"/>
    <mergeCell ref="AH63:AL63"/>
    <mergeCell ref="AC63:AG63"/>
    <mergeCell ref="BB57:BE57"/>
    <mergeCell ref="AC62:AW62"/>
    <mergeCell ref="AI57:AK57"/>
    <mergeCell ref="X57:AH57"/>
    <mergeCell ref="AM63:AR63"/>
    <mergeCell ref="AS92:AW92"/>
    <mergeCell ref="AC145:AW160"/>
    <mergeCell ref="G161:AA176"/>
    <mergeCell ref="AC161:AW176"/>
    <mergeCell ref="G177:AA192"/>
    <mergeCell ref="AC177:AW192"/>
    <mergeCell ref="G145:AA160"/>
    <mergeCell ref="G92:AR92"/>
  </mergeCells>
  <phoneticPr fontId="3" type="noConversion"/>
  <conditionalFormatting sqref="BD62:BD92">
    <cfRule type="cellIs" dxfId="8" priority="2" stopIfTrue="1" operator="equal">
      <formula>BD62+$BC$93-BD61</formula>
    </cfRule>
  </conditionalFormatting>
  <conditionalFormatting sqref="BC62:BC92">
    <cfRule type="cellIs" dxfId="7" priority="3" stopIfTrue="1" operator="equal">
      <formula>BC62+$BC$93-BC61</formula>
    </cfRule>
  </conditionalFormatting>
  <conditionalFormatting sqref="BE62:BE92">
    <cfRule type="cellIs" dxfId="6" priority="4" stopIfTrue="1" operator="equal">
      <formula>BE62+$BC$93-BE61</formula>
    </cfRule>
    <cfRule type="cellIs" dxfId="5" priority="5" stopIfTrue="1" operator="equal">
      <formula>0</formula>
    </cfRule>
  </conditionalFormatting>
  <conditionalFormatting sqref="G13:G14 AQ75:AW75 AC88:AW91 BH59 BH61:BH64">
    <cfRule type="cellIs" dxfId="4" priority="1" stopIfTrue="1" operator="equal">
      <formula>0</formula>
    </cfRule>
  </conditionalFormatting>
  <conditionalFormatting sqref="BD61">
    <cfRule type="cellIs" dxfId="3" priority="7" stopIfTrue="1" operator="equal">
      <formula>BD61+$BC$93</formula>
    </cfRule>
  </conditionalFormatting>
  <conditionalFormatting sqref="BC61">
    <cfRule type="cellIs" dxfId="2" priority="8" stopIfTrue="1" operator="equal">
      <formula>BC61+$BC$93</formula>
    </cfRule>
  </conditionalFormatting>
  <conditionalFormatting sqref="BE61">
    <cfRule type="cellIs" dxfId="1" priority="9" stopIfTrue="1" operator="equal">
      <formula>BE61+$BC$93</formula>
    </cfRule>
    <cfRule type="cellIs" dxfId="0" priority="10" stopIfTrue="1" operator="equal">
      <formula>0</formula>
    </cfRule>
  </conditionalFormatting>
  <dataValidations count="2">
    <dataValidation type="list" allowBlank="1" showInputMessage="1" showErrorMessage="1" sqref="AS67:AW72 AS92:AW92">
      <formula1>"sim,não"</formula1>
    </dataValidation>
    <dataValidation type="list" allowBlank="1" showInputMessage="1" showErrorMessage="1" sqref="AH46:AI46 AS51:AW51 AS53:AW53">
      <formula1>"AC,AL,AP,AM,BA,CE,DF,ES,GO,MA,MT,MS,MG,PA,PB,PR,PE,PI,RR,RO,RJ,RN,RS,SC,SP,SE,TO"</formula1>
    </dataValidation>
  </dataValidations>
  <printOptions horizontalCentered="1"/>
  <pageMargins left="0.78740157480314965" right="0.19685039370078741" top="0.78740157480314965" bottom="0.59055118110236227" header="0.39370078740157483" footer="0.39370078740157483"/>
  <pageSetup paperSize="9" scale="96" fitToHeight="0" orientation="portrait" horizontalDpi="4294967294" verticalDpi="4294967294" r:id="rId1"/>
  <headerFooter alignWithMargins="0">
    <oddHeader>&amp;R AE &amp;14 130 &amp;10 020</oddHeader>
    <oddFooter>&amp;LVigência: 23/07/2020&amp;CPFUI-RAE_AE130
&amp;A&amp;R&amp;P/&amp;N</oddFooter>
  </headerFooter>
  <rowBreaks count="2" manualBreakCount="2">
    <brk id="93" min="5" max="49" man="1"/>
    <brk id="144" min="5" max="49" man="1"/>
  </rowBreaks>
  <drawing r:id="rId2"/>
  <legacyDrawing r:id="rId3"/>
</worksheet>
</file>

<file path=docProps/app.xml><?xml version="1.0" encoding="utf-8"?>
<ap:Properties xmlns:vt="http://schemas.openxmlformats.org/officeDocument/2006/docPropsVTypes" xmlns:ap="http://schemas.openxmlformats.org/officeDocument/2006/extended-properties">
  <ap:Application>Microsoft Excel</ap:Application>
  <ap:DocSecurity>0</ap:DocSecurity>
  <ap:ScaleCrop>false</ap:ScaleCrop>
  <ap:HeadingPairs>
    <vt:vector baseType="variant" size="4">
      <vt:variant>
        <vt:lpstr>Worksheets</vt:lpstr>
      </vt:variant>
      <vt:variant>
        <vt:i4>1</vt:i4>
      </vt:variant>
      <vt:variant>
        <vt:lpstr>Named Ranges</vt:lpstr>
      </vt:variant>
      <vt:variant>
        <vt:i4>4</vt:i4>
      </vt:variant>
    </vt:vector>
  </ap:HeadingPairs>
  <ap:TitlesOfParts>
    <vt:vector baseType="lpstr" size="5">
      <vt:lpstr>RAE</vt:lpstr>
      <vt:lpstr>RAE!Print_Area</vt:lpstr>
      <vt:lpstr>RAE!Print_Titles</vt:lpstr>
      <vt:lpstr>PerConc</vt:lpstr>
      <vt:lpstr>quadro</vt:lpstr>
    </vt:vector>
  </ap:TitlesOfParts>
  <ap:Manager>Wady Vidal</ap:Manager>
  <ap:Company>Caixa Econômica Federal</ap:Company>
  <ap:LinksUpToDate>false</ap:LinksUpToDate>
  <ap:SharedDoc>false</ap:SharedDoc>
  <ap:HyperlinksChanged>false</ap:HyperlinksChanged>
  <ap:AppVersion>16.0300</ap:AppVersion>
</ap: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PFUI-Analise_v002</dc:title>
  <dc:creator>PeagaH Moura</dc:creator>
  <dc:description>Revisado em 28 ABR 2015</dc:description>
  <cp:lastModifiedBy>Felipe Gandra</cp:lastModifiedBy>
  <cp:lastPrinted>2019-05-30T19:04:18Z</cp:lastPrinted>
  <dcterms:created xsi:type="dcterms:W3CDTF">2013-06-27T13:58:46Z</dcterms:created>
  <dcterms:modified xsi:type="dcterms:W3CDTF">2021-06-23T14:12:22Z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1a47ad8-907a-4afd-bc2a-6b2ee4f96f0c_Enabled">
    <vt:lpwstr>True</vt:lpwstr>
  </property>
  <property fmtid="{D5CDD505-2E9C-101B-9397-08002B2CF9AE}" pid="3" name="MSIP_Label_f1a47ad8-907a-4afd-bc2a-6b2ee4f96f0c_SiteId">
    <vt:lpwstr>ab9bba98-684a-43fb-add8-9c2bebede229</vt:lpwstr>
  </property>
  <property fmtid="{D5CDD505-2E9C-101B-9397-08002B2CF9AE}" pid="4" name="MSIP_Label_f1a47ad8-907a-4afd-bc2a-6b2ee4f96f0c_Owner">
    <vt:lpwstr>c069326@corp.caixa.gov.br</vt:lpwstr>
  </property>
  <property fmtid="{D5CDD505-2E9C-101B-9397-08002B2CF9AE}" pid="5" name="MSIP_Label_f1a47ad8-907a-4afd-bc2a-6b2ee4f96f0c_SetDate">
    <vt:lpwstr>2020-07-13T19:58:54.8302795Z</vt:lpwstr>
  </property>
  <property fmtid="{D5CDD505-2E9C-101B-9397-08002B2CF9AE}" pid="6" name="MSIP_Label_f1a47ad8-907a-4afd-bc2a-6b2ee4f96f0c_Name">
    <vt:lpwstr>#EXTERNO.CONFIDENCIAL</vt:lpwstr>
  </property>
  <property fmtid="{D5CDD505-2E9C-101B-9397-08002B2CF9AE}" pid="7" name="MSIP_Label_f1a47ad8-907a-4afd-bc2a-6b2ee4f96f0c_Application">
    <vt:lpwstr>Microsoft Azure Information Protection</vt:lpwstr>
  </property>
  <property fmtid="{D5CDD505-2E9C-101B-9397-08002B2CF9AE}" pid="8" name="MSIP_Label_f1a47ad8-907a-4afd-bc2a-6b2ee4f96f0c_ActionId">
    <vt:lpwstr>405eba2a-2c1c-4fd3-8ffa-f6c6a1b0d9ba</vt:lpwstr>
  </property>
  <property fmtid="{D5CDD505-2E9C-101B-9397-08002B2CF9AE}" pid="9" name="MSIP_Label_f1a47ad8-907a-4afd-bc2a-6b2ee4f96f0c_Extended_MSFT_Method">
    <vt:lpwstr>Manual</vt:lpwstr>
  </property>
  <property fmtid="{D5CDD505-2E9C-101B-9397-08002B2CF9AE}" pid="10" name="Sensitivity">
    <vt:lpwstr>#EXTERNO.CONFIDENCIAL</vt:lpwstr>
  </property>
</Properties>
</file>